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  <sheet name="Summary" sheetId="2" state="visible" r:id="rId4"/>
    <sheet name="Read Me" sheetId="3" state="visible" r:id="rId5"/>
  </sheets>
  <definedNames>
    <definedName function="false" hidden="true" localSheetId="0" name="_xlnm._FilterDatabase" vbProcedure="false">Contacts!$A$1:$R$113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<sst xmlns="http://schemas.openxmlformats.org/spreadsheetml/2006/main" count="1101" uniqueCount="687">
  <si>
    <t xml:space="preserve">College</t>
  </si>
  <si>
    <t xml:space="preserve">City</t>
  </si>
  <si>
    <t xml:space="preserve">State</t>
  </si>
  <si>
    <t xml:space="preserve">League(s)</t>
  </si>
  <si>
    <t xml:space="preserve">First Name</t>
  </si>
  <si>
    <t xml:space="preserve">Last Name</t>
  </si>
  <si>
    <t xml:space="preserve">Title</t>
  </si>
  <si>
    <t xml:space="preserve">Email</t>
  </si>
  <si>
    <t xml:space="preserve">Email Type</t>
  </si>
  <si>
    <t xml:space="preserve">Phone</t>
  </si>
  <si>
    <t xml:space="preserve">Discord</t>
  </si>
  <si>
    <t xml:space="preserve">Contacted</t>
  </si>
  <si>
    <t xml:space="preserve">Interested</t>
  </si>
  <si>
    <t xml:space="preserve">Date Contacted</t>
  </si>
  <si>
    <t xml:space="preserve">Follow-Up Date</t>
  </si>
  <si>
    <t xml:space="preserve">Notes</t>
  </si>
  <si>
    <t xml:space="preserve">Source / Program Page</t>
  </si>
  <si>
    <t xml:space="preserve">Info Last Seen</t>
  </si>
  <si>
    <t xml:space="preserve">Shelton State Community College</t>
  </si>
  <si>
    <t xml:space="preserve">Tuscaloosa</t>
  </si>
  <si>
    <t xml:space="preserve">AL</t>
  </si>
  <si>
    <t xml:space="preserve">Khaleb</t>
  </si>
  <si>
    <t xml:space="preserve">Groce</t>
  </si>
  <si>
    <t xml:space="preserve">Esports Coach</t>
  </si>
  <si>
    <t xml:space="preserve">kgroce@sheltonstate.edu</t>
  </si>
  <si>
    <t xml:space="preserve">Coach / program</t>
  </si>
  <si>
    <t xml:space="preserve">205-391-2285</t>
  </si>
  <si>
    <t xml:space="preserve">https://athletics.sheltonstate.edu/information/directory/bios/groce-khaleb</t>
  </si>
  <si>
    <t xml:space="preserve">University of Arkansas Rich Mountain</t>
  </si>
  <si>
    <t xml:space="preserve">Mena</t>
  </si>
  <si>
    <t xml:space="preserve">AR</t>
  </si>
  <si>
    <t xml:space="preserve">Jack</t>
  </si>
  <si>
    <t xml:space="preserve">Harrison</t>
  </si>
  <si>
    <t xml:space="preserve">Esports Head Coach</t>
  </si>
  <si>
    <t xml:space="preserve">jharrison@uarichmountain.edu</t>
  </si>
  <si>
    <t xml:space="preserve">479-394-7622 x1431</t>
  </si>
  <si>
    <t xml:space="preserve">https://bucksathletics.prestosports.com/sports/esports/coaches/jack_harrison</t>
  </si>
  <si>
    <t xml:space="preserve">Mohave Community College</t>
  </si>
  <si>
    <t xml:space="preserve">Kingman</t>
  </si>
  <si>
    <t xml:space="preserve">AZ</t>
  </si>
  <si>
    <t xml:space="preserve">NACE</t>
  </si>
  <si>
    <t xml:space="preserve">amasterson@mohave.edu</t>
  </si>
  <si>
    <t xml:space="preserve">Admissions staff (verify)</t>
  </si>
  <si>
    <t xml:space="preserve">https://en.wikipedia.org/wiki/National_Association_of_Collegiate_Esports</t>
  </si>
  <si>
    <t xml:space="preserve">Coastline College</t>
  </si>
  <si>
    <t xml:space="preserve">Fountain Valley</t>
  </si>
  <si>
    <t xml:space="preserve">CA</t>
  </si>
  <si>
    <t xml:space="preserve">Katherine</t>
  </si>
  <si>
    <t xml:space="preserve">Amoukhteh</t>
  </si>
  <si>
    <t xml:space="preserve">Esports Lead</t>
  </si>
  <si>
    <t xml:space="preserve">None published</t>
  </si>
  <si>
    <t xml:space="preserve">No public inquiry email: 714-546-7600.</t>
  </si>
  <si>
    <t xml:space="preserve">https://www.cccco.edu/About-Us/News-and-Media/ccc-outlook-newsletter-archive/ivc-coastline-esports</t>
  </si>
  <si>
    <t xml:space="preserve">Compton College</t>
  </si>
  <si>
    <t xml:space="preserve">Compton</t>
  </si>
  <si>
    <t xml:space="preserve">No public inquiry email: 310-900-1600.</t>
  </si>
  <si>
    <t xml:space="preserve">https://productiverecruit.com/athletic-scholarships/esports/iowa/iowa-western-community-college</t>
  </si>
  <si>
    <t xml:space="preserve">Irvine Valley College</t>
  </si>
  <si>
    <t xml:space="preserve">Irvine</t>
  </si>
  <si>
    <t xml:space="preserve">Adam</t>
  </si>
  <si>
    <t xml:space="preserve">Lopez</t>
  </si>
  <si>
    <t xml:space="preserve">Esports Coordinator</t>
  </si>
  <si>
    <t xml:space="preserve">No public inquiry email: 949-451-5100.</t>
  </si>
  <si>
    <t xml:space="preserve">Long Beach City College</t>
  </si>
  <si>
    <t xml:space="preserve">Long Beach</t>
  </si>
  <si>
    <t xml:space="preserve">Gabe</t>
  </si>
  <si>
    <t xml:space="preserve">Giangualano</t>
  </si>
  <si>
    <t xml:space="preserve">No public inquiry email: 562-938-4111.</t>
  </si>
  <si>
    <t xml:space="preserve">https://lbcc.edu/showcase-1/fans-can-catch-all-exciting-action-our-youtube-channel-lbccesports9379</t>
  </si>
  <si>
    <t xml:space="preserve">Trinidad State College</t>
  </si>
  <si>
    <t xml:space="preserve">Trinidad</t>
  </si>
  <si>
    <t xml:space="preserve">CO</t>
  </si>
  <si>
    <t xml:space="preserve">NJCAAE</t>
  </si>
  <si>
    <t xml:space="preserve">TS.Admissions@trinidadstate.edu</t>
  </si>
  <si>
    <t xml:space="preserve">General inquiry (college)</t>
  </si>
  <si>
    <t xml:space="preserve">https://trinidadstate.edu/esports/index.html</t>
  </si>
  <si>
    <t xml:space="preserve">Daytona State College</t>
  </si>
  <si>
    <t xml:space="preserve">Daytona Beach</t>
  </si>
  <si>
    <t xml:space="preserve">FL</t>
  </si>
  <si>
    <t xml:space="preserve">NJCAAE / NECC</t>
  </si>
  <si>
    <t xml:space="preserve">Sebastian</t>
  </si>
  <si>
    <t xml:space="preserve">Morales</t>
  </si>
  <si>
    <t xml:space="preserve">Esports Coordinator / Coach</t>
  </si>
  <si>
    <t xml:space="preserve">386-506-3838</t>
  </si>
  <si>
    <t xml:space="preserve">3 straight NJCAAE Rocket League titles. Program Discord: bit.ly/DSC_EsportsDiscord No public inquiry email: 386-506-3000.</t>
  </si>
  <si>
    <t xml:space="preserve">https://www.dscfalcons.com/sports/esports/coaches/sebastian_morales</t>
  </si>
  <si>
    <t xml:space="preserve">2026</t>
  </si>
  <si>
    <t xml:space="preserve">Hawkeye Community College</t>
  </si>
  <si>
    <t xml:space="preserve">Waterloo</t>
  </si>
  <si>
    <t xml:space="preserve">IA</t>
  </si>
  <si>
    <t xml:space="preserve">Ryan</t>
  </si>
  <si>
    <t xml:space="preserve">Goeke</t>
  </si>
  <si>
    <t xml:space="preserve">Head Esports Coach</t>
  </si>
  <si>
    <t xml:space="preserve">holly.grimm@hawkeyecollege.edu</t>
  </si>
  <si>
    <t xml:space="preserve">319-296-2320 x1190</t>
  </si>
  <si>
    <t xml:space="preserve">Athletics office: athletics@hawkeyecollege.edu</t>
  </si>
  <si>
    <t xml:space="preserve">https://redtailathletics.com/sports/esports/coaches/Ryan_Goeke_Bio</t>
  </si>
  <si>
    <t xml:space="preserve">2021</t>
  </si>
  <si>
    <t xml:space="preserve">Iowa Central Community College</t>
  </si>
  <si>
    <t xml:space="preserve">Fort Dodge</t>
  </si>
  <si>
    <t xml:space="preserve">Sam</t>
  </si>
  <si>
    <t xml:space="preserve">Morlan</t>
  </si>
  <si>
    <t xml:space="preserve">Head eSports Coach</t>
  </si>
  <si>
    <t xml:space="preserve">morlan@iowacentral.edu</t>
  </si>
  <si>
    <t xml:space="preserve">515-227-0091</t>
  </si>
  <si>
    <t xml:space="preserve">https://ictritons.prestosports.com/sports/esports/coaches/morlan_sam</t>
  </si>
  <si>
    <t xml:space="preserve">2022</t>
  </si>
  <si>
    <t xml:space="preserve">Iowa Western Community College</t>
  </si>
  <si>
    <t xml:space="preserve">Council Bluffs</t>
  </si>
  <si>
    <t xml:space="preserve">Bill</t>
  </si>
  <si>
    <t xml:space="preserve">Riccetti</t>
  </si>
  <si>
    <t xml:space="preserve">wriccetti@iwcc.edu</t>
  </si>
  <si>
    <t xml:space="preserve">Head coach since 2023-24.</t>
  </si>
  <si>
    <t xml:space="preserve">https://goreivers.com/sports/esports/coaches/billricetti</t>
  </si>
  <si>
    <t xml:space="preserve">2025</t>
  </si>
  <si>
    <t xml:space="preserve">Marshalltown Community College</t>
  </si>
  <si>
    <t xml:space="preserve">Marshalltown</t>
  </si>
  <si>
    <t xml:space="preserve">Nate</t>
  </si>
  <si>
    <t xml:space="preserve">Rodemeyer</t>
  </si>
  <si>
    <t xml:space="preserve">mccinfo@iavalley.edu</t>
  </si>
  <si>
    <t xml:space="preserve">641-844-5789</t>
  </si>
  <si>
    <t xml:space="preserve">2026 NAECAD College Coach of the Year. Co-coaches: Andrew Goforth, Max Pietrzak.</t>
  </si>
  <si>
    <t xml:space="preserve">https://mccathletics.com/sports/esports/coaches/Nate_Rodemeyer</t>
  </si>
  <si>
    <t xml:space="preserve">Western Iowa Tech Community College</t>
  </si>
  <si>
    <t xml:space="preserve">Sioux City</t>
  </si>
  <si>
    <t xml:space="preserve">Mike</t>
  </si>
  <si>
    <t xml:space="preserve">Craig</t>
  </si>
  <si>
    <t xml:space="preserve">Head Coach, Esports</t>
  </si>
  <si>
    <t xml:space="preserve">mike.craig@witcc.edu</t>
  </si>
  <si>
    <t xml:space="preserve">712-587-9688</t>
  </si>
  <si>
    <t xml:space="preserve">Co-head coach: Cale Conner (cale.conner@witcc.edu).</t>
  </si>
  <si>
    <t xml:space="preserve">https://bytespeed.com/naecad-collegiate-esports-guide/</t>
  </si>
  <si>
    <t xml:space="preserve">2024</t>
  </si>
  <si>
    <t xml:space="preserve">College of Lake County</t>
  </si>
  <si>
    <t xml:space="preserve">Grayslake</t>
  </si>
  <si>
    <t xml:space="preserve">IL</t>
  </si>
  <si>
    <t xml:space="preserve">Matthew</t>
  </si>
  <si>
    <t xml:space="preserve">Hixon</t>
  </si>
  <si>
    <t xml:space="preserve">Head Coach, E-Sports</t>
  </si>
  <si>
    <t xml:space="preserve">Previously inaugural coach at Kishwaukee College. No public inquiry email: Student recruitment 847-543-2383.</t>
  </si>
  <si>
    <t xml:space="preserve">https://clclancers.com/staff-directory/matthew-hixon/28</t>
  </si>
  <si>
    <t xml:space="preserve">Heartland Community College</t>
  </si>
  <si>
    <t xml:space="preserve">Normal</t>
  </si>
  <si>
    <t xml:space="preserve">Cole</t>
  </si>
  <si>
    <t xml:space="preserve">Belcher</t>
  </si>
  <si>
    <t xml:space="preserve">frc@heartland.edu</t>
  </si>
  <si>
    <t xml:space="preserve">Athletics office</t>
  </si>
  <si>
    <t xml:space="preserve">309-268-8432 (athletics)</t>
  </si>
  <si>
    <t xml:space="preserve">Athletics: frc@heartland.edu. 2026 NJCAAE Rocket League national runner-up.</t>
  </si>
  <si>
    <t xml:space="preserve">https://www.heartland.edu/news/2024/6.2024BelcherEsportsCoach062524.html</t>
  </si>
  <si>
    <t xml:space="preserve">Kishwaukee College</t>
  </si>
  <si>
    <t xml:space="preserve">Malta</t>
  </si>
  <si>
    <t xml:space="preserve">ghorta@kish.edu</t>
  </si>
  <si>
    <t xml:space="preserve">https://productiverecruit.com/athletic-scholarships/esports/kansas/highland-community-college</t>
  </si>
  <si>
    <t xml:space="preserve">Lincoln Land Community College</t>
  </si>
  <si>
    <t xml:space="preserve">Springfield</t>
  </si>
  <si>
    <t xml:space="preserve">robin.ackman@llcc.edu</t>
  </si>
  <si>
    <t xml:space="preserve">https://productiverecruit.com/athletic-scholarships/esports/michigan/muskegon-community-college</t>
  </si>
  <si>
    <t xml:space="preserve">William Rainey Harper College</t>
  </si>
  <si>
    <t xml:space="preserve">Palatine</t>
  </si>
  <si>
    <t xml:space="preserve">No public inquiry email: 847-925-6000; general inquiry form on harpercollege.edu.</t>
  </si>
  <si>
    <t xml:space="preserve">https://productiverecruit.com/athletic-scholarships/esports/pennsylvania/montgomery-county-community-college</t>
  </si>
  <si>
    <t xml:space="preserve">Barton County Community College</t>
  </si>
  <si>
    <t xml:space="preserve">Great Bend</t>
  </si>
  <si>
    <t xml:space="preserve">KS</t>
  </si>
  <si>
    <t xml:space="preserve">admissions@bartonccc.edu</t>
  </si>
  <si>
    <t xml:space="preserve">Coffeyville Community College</t>
  </si>
  <si>
    <t xml:space="preserve">Coffeyville</t>
  </si>
  <si>
    <t xml:space="preserve">E-Sports Coach</t>
  </si>
  <si>
    <t xml:space="preserve">admissions@coffeyville.edu</t>
  </si>
  <si>
    <t xml:space="preserve">620-251-7700 (main)</t>
  </si>
  <si>
    <t xml:space="preserve">Coach page exists but name not captured; check link. Titles: LoL, OW, RL, Fortnite, R6.</t>
  </si>
  <si>
    <t xml:space="preserve">https://www.coffeyville.edu/student-organizations-and-activities/esports/esports-coach</t>
  </si>
  <si>
    <t xml:space="preserve">Fort Scott Community College</t>
  </si>
  <si>
    <t xml:space="preserve">Fort Scott</t>
  </si>
  <si>
    <t xml:space="preserve">Ben</t>
  </si>
  <si>
    <t xml:space="preserve">Souza</t>
  </si>
  <si>
    <t xml:space="preserve">bens@fortscott.edu</t>
  </si>
  <si>
    <t xml:space="preserve">620-223-2700 x4110</t>
  </si>
  <si>
    <t xml:space="preserve">https://fortscott.prestosports.com/sports/esports/coaches/Ben_Souza</t>
  </si>
  <si>
    <t xml:space="preserve">Hesston College</t>
  </si>
  <si>
    <t xml:space="preserve">Hesston</t>
  </si>
  <si>
    <t xml:space="preserve">Mitchell</t>
  </si>
  <si>
    <t xml:space="preserve">Margaris</t>
  </si>
  <si>
    <t xml:space="preserve">mitchell.margaris@hesston.edu</t>
  </si>
  <si>
    <t xml:space="preserve">https://hesston.edu/about/leadership-faculty-and-staff/faculty-and-staff-directory/mitchell-margaris</t>
  </si>
  <si>
    <t xml:space="preserve">Highland Community College</t>
  </si>
  <si>
    <t xml:space="preserve">Highland</t>
  </si>
  <si>
    <t xml:space="preserve">NJCAAE / NACE</t>
  </si>
  <si>
    <t xml:space="preserve">admissions@highland.edu</t>
  </si>
  <si>
    <t xml:space="preserve">Coach not listed publicly. 2026 NJCAAE D1 Street Fighter 6 finalist.</t>
  </si>
  <si>
    <t xml:space="preserve">Independence Community College</t>
  </si>
  <si>
    <t xml:space="preserve">Independence</t>
  </si>
  <si>
    <t xml:space="preserve">bthornton@indycc.edu</t>
  </si>
  <si>
    <t xml:space="preserve">Pratt Community College</t>
  </si>
  <si>
    <t xml:space="preserve">Pratt</t>
  </si>
  <si>
    <t xml:space="preserve">Charles</t>
  </si>
  <si>
    <t xml:space="preserve">Keefer</t>
  </si>
  <si>
    <t xml:space="preserve">charlesk@prattcc.edu</t>
  </si>
  <si>
    <t xml:space="preserve">316-680-9464</t>
  </si>
  <si>
    <t xml:space="preserve">Seward County Community College</t>
  </si>
  <si>
    <t xml:space="preserve">Liberal</t>
  </si>
  <si>
    <t xml:space="preserve">Eric</t>
  </si>
  <si>
    <t xml:space="preserve">Volden</t>
  </si>
  <si>
    <t xml:space="preserve">eric.volden@sccc.edu</t>
  </si>
  <si>
    <t xml:space="preserve">Program began 2023-24.</t>
  </si>
  <si>
    <t xml:space="preserve">https://seward.prestosports.com/sports/esports/coaches/Eric_Volden</t>
  </si>
  <si>
    <t xml:space="preserve">Massachusetts Bay Community College</t>
  </si>
  <si>
    <t xml:space="preserve">Wellesley Hills</t>
  </si>
  <si>
    <t xml:space="preserve">MA</t>
  </si>
  <si>
    <t xml:space="preserve">admissions@massbay.edu</t>
  </si>
  <si>
    <t xml:space="preserve">Northern Essex Community College</t>
  </si>
  <si>
    <t xml:space="preserve">Haverhill</t>
  </si>
  <si>
    <t xml:space="preserve">enrollmentservices@necc.mass.edu</t>
  </si>
  <si>
    <t xml:space="preserve">https://en.wikipedia.org/wiki/College_esports_in_the_United_States</t>
  </si>
  <si>
    <t xml:space="preserve">Anne Arundel Community College</t>
  </si>
  <si>
    <t xml:space="preserve">Arnold</t>
  </si>
  <si>
    <t xml:space="preserve">MD</t>
  </si>
  <si>
    <t xml:space="preserve">Conway</t>
  </si>
  <si>
    <t xml:space="preserve">Johnson</t>
  </si>
  <si>
    <t xml:space="preserve">wcjohnson2@aacc.edu</t>
  </si>
  <si>
    <t xml:space="preserve">443-996-8509</t>
  </si>
  <si>
    <t xml:space="preserve">https://aacc.prestosports.com/sports/esports/coaches/Conway_Johnson</t>
  </si>
  <si>
    <t xml:space="preserve">Central Maine Community College</t>
  </si>
  <si>
    <t xml:space="preserve">Auburn</t>
  </si>
  <si>
    <t xml:space="preserve">ME</t>
  </si>
  <si>
    <t xml:space="preserve">No public inquiry email: Admissions 207-755-5273; contact form.</t>
  </si>
  <si>
    <t xml:space="preserve">https://www.animationcareerreview.com/articles/list-us-colleges-varsity-esports-programs</t>
  </si>
  <si>
    <t xml:space="preserve">York County Community College</t>
  </si>
  <si>
    <t xml:space="preserve">Wells</t>
  </si>
  <si>
    <t xml:space="preserve">NJCAAE (from 2026-27)</t>
  </si>
  <si>
    <t xml:space="preserve">Aiden</t>
  </si>
  <si>
    <t xml:space="preserve">Deshaies</t>
  </si>
  <si>
    <t xml:space="preserve">adeshaies@mainecc.edu</t>
  </si>
  <si>
    <t xml:space="preserve">207-216-4309</t>
  </si>
  <si>
    <t xml:space="preserve">Moving to NJCAAE for 2026-27.</t>
  </si>
  <si>
    <t xml:space="preserve">https://yorkcountyhawks.com/ESports_makes_move_to_NJCAAe</t>
  </si>
  <si>
    <t xml:space="preserve">Gogebic Community College</t>
  </si>
  <si>
    <t xml:space="preserve">Ironwood</t>
  </si>
  <si>
    <t xml:space="preserve">MI</t>
  </si>
  <si>
    <t xml:space="preserve">info@gogebic.edu</t>
  </si>
  <si>
    <t xml:space="preserve">https://www.hawkeyecollege.edu/articles/news/hawkeye-community-college-esports-program-caps-undefeated-season-with-national-title</t>
  </si>
  <si>
    <t xml:space="preserve">Jackson College</t>
  </si>
  <si>
    <t xml:space="preserve">Jackson</t>
  </si>
  <si>
    <t xml:space="preserve">admissions@jccmi.edu</t>
  </si>
  <si>
    <t xml:space="preserve">Muskegon Community College</t>
  </si>
  <si>
    <t xml:space="preserve">Muskegon</t>
  </si>
  <si>
    <t xml:space="preserve">David</t>
  </si>
  <si>
    <t xml:space="preserve">Klinger</t>
  </si>
  <si>
    <t xml:space="preserve">Head Coach</t>
  </si>
  <si>
    <t xml:space="preserve">johnathon.skidmore@muskegoncc.edu</t>
  </si>
  <si>
    <t xml:space="preserve">Named at 2022 launch; college has since posted a head coach opening - confirm.</t>
  </si>
  <si>
    <t xml:space="preserve">https://fox17online.com/news/local-news/muskegon-community-college-launching-esports-program</t>
  </si>
  <si>
    <t xml:space="preserve">Northwestern Michigan College</t>
  </si>
  <si>
    <t xml:space="preserve">Traverse City</t>
  </si>
  <si>
    <t xml:space="preserve">admissions@nmc.edu</t>
  </si>
  <si>
    <t xml:space="preserve">https://waketech.prestosports.com/sports/esports/2022-23/releases/20221123j6z3l4</t>
  </si>
  <si>
    <t xml:space="preserve">St. Clair County Community College</t>
  </si>
  <si>
    <t xml:space="preserve">Port Huron</t>
  </si>
  <si>
    <t xml:space="preserve">enrollment@sc4.edu</t>
  </si>
  <si>
    <t xml:space="preserve">Crowder College</t>
  </si>
  <si>
    <t xml:space="preserve">Neosho</t>
  </si>
  <si>
    <t xml:space="preserve">MO</t>
  </si>
  <si>
    <t xml:space="preserve">jamesdickey@crowder.edu</t>
  </si>
  <si>
    <t xml:space="preserve">Missouri State University-West Plains</t>
  </si>
  <si>
    <t xml:space="preserve">West Plains</t>
  </si>
  <si>
    <t xml:space="preserve">Alex</t>
  </si>
  <si>
    <t xml:space="preserve">Pinnon</t>
  </si>
  <si>
    <t xml:space="preserve">Coach</t>
  </si>
  <si>
    <t xml:space="preserve">apinnon@missouristate.edu</t>
  </si>
  <si>
    <t xml:space="preserve">417-255-7965</t>
  </si>
  <si>
    <t xml:space="preserve">North Central Missouri College</t>
  </si>
  <si>
    <t xml:space="preserve">Trenton</t>
  </si>
  <si>
    <t xml:space="preserve">Chris</t>
  </si>
  <si>
    <t xml:space="preserve">Flowers</t>
  </si>
  <si>
    <t xml:space="preserve">cflowers@mail.ncmissouri.edu</t>
  </si>
  <si>
    <t xml:space="preserve">660-359-3948 x1311</t>
  </si>
  <si>
    <t xml:space="preserve">https://ncmc.prestosports.com/sports/esports/Coaches/Chris_Flowers</t>
  </si>
  <si>
    <t xml:space="preserve">Ozarks Technical Community College</t>
  </si>
  <si>
    <t xml:space="preserve">Tiffany</t>
  </si>
  <si>
    <t xml:space="preserve">Ford</t>
  </si>
  <si>
    <t xml:space="preserve">Esports Director</t>
  </si>
  <si>
    <t xml:space="preserve">fordt@otc.edu</t>
  </si>
  <si>
    <t xml:space="preserve">Also CIS Dept. Chair.</t>
  </si>
  <si>
    <t xml:space="preserve">https://students.otc.edu/financialaid/job/esports-assistant/</t>
  </si>
  <si>
    <t xml:space="preserve">St. Charles Community College</t>
  </si>
  <si>
    <t xml:space="preserve">Cottleville</t>
  </si>
  <si>
    <t xml:space="preserve">admissions@stchas.edu</t>
  </si>
  <si>
    <t xml:space="preserve">Coach not listed. Fallback: AD Dustin Wengert, dwengert@stchas.edu, 636-922-8487. 2026 NJCAAE T3 Valorant champs.</t>
  </si>
  <si>
    <t xml:space="preserve">https://stchas.edu/who-we-are/news/archive/2026/valorant_team_becomes_njcaaet3_champions_and_other_successes.php</t>
  </si>
  <si>
    <t xml:space="preserve">St. Louis Community College</t>
  </si>
  <si>
    <t xml:space="preserve">St. Louis</t>
  </si>
  <si>
    <t xml:space="preserve">Robert</t>
  </si>
  <si>
    <t xml:space="preserve">Cruz</t>
  </si>
  <si>
    <t xml:space="preserve">rcruz9@stlcc.edu</t>
  </si>
  <si>
    <t xml:space="preserve">https://stlcc.prestosports.com/sports/Esports/coaches/Robert_Cruz</t>
  </si>
  <si>
    <t xml:space="preserve">State Fair Community College</t>
  </si>
  <si>
    <t xml:space="preserve">Sedalia</t>
  </si>
  <si>
    <t xml:space="preserve">Jacob</t>
  </si>
  <si>
    <t xml:space="preserve">Coleman</t>
  </si>
  <si>
    <t xml:space="preserve">jcoleman1@sfccmo.edu</t>
  </si>
  <si>
    <t xml:space="preserve">660-525-4614</t>
  </si>
  <si>
    <t xml:space="preserve">Two NJCAAE Rainbow Six Siege national titles.</t>
  </si>
  <si>
    <t xml:space="preserve">https://statefaircc.prestosports.com/sports/esports/coaches/Jacob_Coleman</t>
  </si>
  <si>
    <t xml:space="preserve">State Technical College of Missouri</t>
  </si>
  <si>
    <t xml:space="preserve">Linn</t>
  </si>
  <si>
    <t xml:space="preserve">admissions@statetechmo.edu</t>
  </si>
  <si>
    <t xml:space="preserve">https://waketech.prestosports.com/sports/esports/2023-24/releases/20231112lwkmks</t>
  </si>
  <si>
    <t xml:space="preserve">Mississippi Gulf Coast Community College</t>
  </si>
  <si>
    <t xml:space="preserve">Perkinston</t>
  </si>
  <si>
    <t xml:space="preserve">MS</t>
  </si>
  <si>
    <t xml:space="preserve">No public inquiry email: 228-896-2536; contact form.</t>
  </si>
  <si>
    <t xml:space="preserve">Dawson Community College</t>
  </si>
  <si>
    <t xml:space="preserve">Glendive</t>
  </si>
  <si>
    <t xml:space="preserve">MT</t>
  </si>
  <si>
    <t xml:space="preserve">info@dawson.edu</t>
  </si>
  <si>
    <t xml:space="preserve">https://productiverecruit.com/athletic-scholarships/esports/iowa/iowa-central-community-college</t>
  </si>
  <si>
    <t xml:space="preserve">Catawba Valley Community College</t>
  </si>
  <si>
    <t xml:space="preserve">Hickory</t>
  </si>
  <si>
    <t xml:space="preserve">NC</t>
  </si>
  <si>
    <t xml:space="preserve">No public inquiry email: 828-327-7000.</t>
  </si>
  <si>
    <t xml:space="preserve">https://theonlineclarion.com/sports/2025/01/21/esports-team-earns-another-national-title-its-3rd-straight</t>
  </si>
  <si>
    <t xml:space="preserve">Guilford Technical Community College</t>
  </si>
  <si>
    <t xml:space="preserve">Jamestown</t>
  </si>
  <si>
    <t xml:space="preserve">Tu</t>
  </si>
  <si>
    <t xml:space="preserve">Nguyen</t>
  </si>
  <si>
    <t xml:space="preserve">tmnguyen3@gtcc.edu</t>
  </si>
  <si>
    <t xml:space="preserve">336-334-4822 x50812</t>
  </si>
  <si>
    <t xml:space="preserve">General: esports@gtcc.edu.</t>
  </si>
  <si>
    <t xml:space="preserve">https://www.gtcc.edu/student-life/athletics/esports.php</t>
  </si>
  <si>
    <t xml:space="preserve">Louisburg College</t>
  </si>
  <si>
    <t xml:space="preserve">Louisburg</t>
  </si>
  <si>
    <t xml:space="preserve">lccommunications@louisburg.edu</t>
  </si>
  <si>
    <t xml:space="preserve">South Piedmont Community College</t>
  </si>
  <si>
    <t xml:space="preserve">Polkton</t>
  </si>
  <si>
    <t xml:space="preserve">navigate@spcc.edu</t>
  </si>
  <si>
    <t xml:space="preserve">New program; hiring part-time coach.</t>
  </si>
  <si>
    <t xml:space="preserve">https://www.nccommunitycolleges.edu/about-us/jobs/esports-coach-student-life-communications-coordinator-part-time/</t>
  </si>
  <si>
    <t xml:space="preserve">Wake Technical Community College</t>
  </si>
  <si>
    <t xml:space="preserve">Raleigh</t>
  </si>
  <si>
    <t xml:space="preserve">Patrick</t>
  </si>
  <si>
    <t xml:space="preserve">McNair</t>
  </si>
  <si>
    <t xml:space="preserve">Director, Esports</t>
  </si>
  <si>
    <t xml:space="preserve">pwmcnair@waketech.edu</t>
  </si>
  <si>
    <t xml:space="preserve">MackP1 (per 2023 post)</t>
  </si>
  <si>
    <t xml:space="preserve">Program Discord: discord.gg/ngZxmtjyg7</t>
  </si>
  <si>
    <t xml:space="preserve">https://waketechsports.com/sports/Esports/coaches/PatrickMcNair</t>
  </si>
  <si>
    <t xml:space="preserve">Bismarck State College</t>
  </si>
  <si>
    <t xml:space="preserve">Bismarck</t>
  </si>
  <si>
    <t xml:space="preserve">ND</t>
  </si>
  <si>
    <t xml:space="preserve">bsc.admissions@bismarckstate.edu</t>
  </si>
  <si>
    <t xml:space="preserve">North Dakota State College of Science</t>
  </si>
  <si>
    <t xml:space="preserve">Wahpeton</t>
  </si>
  <si>
    <t xml:space="preserve">No public inquiry email: Check ndscs.edu.</t>
  </si>
  <si>
    <t xml:space="preserve">Central Community College</t>
  </si>
  <si>
    <t xml:space="preserve">Columbus</t>
  </si>
  <si>
    <t xml:space="preserve">NE</t>
  </si>
  <si>
    <t xml:space="preserve">Lucas</t>
  </si>
  <si>
    <t xml:space="preserve">Lumbra</t>
  </si>
  <si>
    <t xml:space="preserve">lucaslumbra@cccneb.edu</t>
  </si>
  <si>
    <t xml:space="preserve">402-562-1496</t>
  </si>
  <si>
    <t xml:space="preserve">Multiple Call of Duty national titles.</t>
  </si>
  <si>
    <t xml:space="preserve">https://cccneb.prestosports.com/information/directory/Lucas_Lumbra</t>
  </si>
  <si>
    <t xml:space="preserve">Southeast Community College</t>
  </si>
  <si>
    <t xml:space="preserve">Lincoln</t>
  </si>
  <si>
    <t xml:space="preserve">admissions@southeast.edu</t>
  </si>
  <si>
    <t xml:space="preserve">https://waketech.prestosports.com/sports/esports/2023-24/schedule</t>
  </si>
  <si>
    <t xml:space="preserve">Great Bay Community College</t>
  </si>
  <si>
    <t xml:space="preserve">Portsmouth</t>
  </si>
  <si>
    <t xml:space="preserve">NH</t>
  </si>
  <si>
    <t xml:space="preserve">askgreatbay@ccsnh.edu</t>
  </si>
  <si>
    <t xml:space="preserve">Brookdale Community College</t>
  </si>
  <si>
    <t xml:space="preserve">Lincroft</t>
  </si>
  <si>
    <t xml:space="preserve">NJ</t>
  </si>
  <si>
    <t xml:space="preserve">Boehmer</t>
  </si>
  <si>
    <t xml:space="preserve">Director of Esports</t>
  </si>
  <si>
    <t xml:space="preserve">cboehmer@brookdalecc.edu</t>
  </si>
  <si>
    <t xml:space="preserve">https://www.brookdalecc.edu/esports/</t>
  </si>
  <si>
    <t xml:space="preserve">Camden County College</t>
  </si>
  <si>
    <t xml:space="preserve">Blackwood</t>
  </si>
  <si>
    <t xml:space="preserve">admissions@camdencc.edu</t>
  </si>
  <si>
    <t xml:space="preserve">https://www.bestcolleges.com/news/love-esports-here-are-all-the-colleges-with-esports-teams/</t>
  </si>
  <si>
    <t xml:space="preserve">Ocean County College</t>
  </si>
  <si>
    <t xml:space="preserve">Toms River</t>
  </si>
  <si>
    <t xml:space="preserve">John</t>
  </si>
  <si>
    <t xml:space="preserve">Ruhl</t>
  </si>
  <si>
    <t xml:space="preserve">occ-e-sports@ocean.edu</t>
  </si>
  <si>
    <t xml:space="preserve">Info from 2020 - confirm.</t>
  </si>
  <si>
    <t xml:space="preserve">https://oceancc.prestosports.com/genrel/12-11-20_OCC_Esports_To_Add_3_Games_to_Season</t>
  </si>
  <si>
    <t xml:space="preserve">2020</t>
  </si>
  <si>
    <t xml:space="preserve">Passaic County Community College</t>
  </si>
  <si>
    <t xml:space="preserve">Paterson</t>
  </si>
  <si>
    <t xml:space="preserve">Lamar</t>
  </si>
  <si>
    <t xml:space="preserve">Carter</t>
  </si>
  <si>
    <t xml:space="preserve">Esports Coordinator/Coach</t>
  </si>
  <si>
    <t xml:space="preserve">lcarter0761@pccc.edu</t>
  </si>
  <si>
    <t xml:space="preserve">https://pccc.edu/meet-lamar-carter-pcccs-new-esports-coordinator-coach/</t>
  </si>
  <si>
    <t xml:space="preserve">Sussex County Community College</t>
  </si>
  <si>
    <t xml:space="preserve">Newton</t>
  </si>
  <si>
    <t xml:space="preserve">admissions@sussex.edu</t>
  </si>
  <si>
    <t xml:space="preserve">https://sussex.edu/about-sussex/jobs/sussex-jobs/pt-coach-esports</t>
  </si>
  <si>
    <t xml:space="preserve">Union College of Union County</t>
  </si>
  <si>
    <t xml:space="preserve">Cranford</t>
  </si>
  <si>
    <t xml:space="preserve">No public inquiry email: Inquiry form on ucc.edu.</t>
  </si>
  <si>
    <t xml:space="preserve">Dutchess Community College</t>
  </si>
  <si>
    <t xml:space="preserve">Poughkeepsie</t>
  </si>
  <si>
    <t xml:space="preserve">NY</t>
  </si>
  <si>
    <t xml:space="preserve">admissions@sunydutchess.edu</t>
  </si>
  <si>
    <t xml:space="preserve">Finger Lakes Community College</t>
  </si>
  <si>
    <t xml:space="preserve">Canandaigua</t>
  </si>
  <si>
    <t xml:space="preserve">admissions@flcc.edu</t>
  </si>
  <si>
    <t xml:space="preserve">Hudson Valley Community College</t>
  </si>
  <si>
    <t xml:space="preserve">Troy</t>
  </si>
  <si>
    <t xml:space="preserve">Aaron</t>
  </si>
  <si>
    <t xml:space="preserve">Hebert</t>
  </si>
  <si>
    <t xml:space="preserve">a.hebert@hvcc.edu</t>
  </si>
  <si>
    <t xml:space="preserve">518-629-7328</t>
  </si>
  <si>
    <t xml:space="preserve">HVCC Esports (program server)</t>
  </si>
  <si>
    <t xml:space="preserve">General: esports@hvcc.edu.</t>
  </si>
  <si>
    <t xml:space="preserve">https://hvcc.prestosports.com/sports/esports/coaches/Aaron_Hebert</t>
  </si>
  <si>
    <t xml:space="preserve">Nassau Community College</t>
  </si>
  <si>
    <t xml:space="preserve">Garden City</t>
  </si>
  <si>
    <t xml:space="preserve">No public inquiry email: 516-572-7501; inquiry form on ncc.edu.</t>
  </si>
  <si>
    <t xml:space="preserve">Onondaga Community College</t>
  </si>
  <si>
    <t xml:space="preserve">Syracuse</t>
  </si>
  <si>
    <t xml:space="preserve">Keith</t>
  </si>
  <si>
    <t xml:space="preserve">Edwards</t>
  </si>
  <si>
    <t xml:space="preserve">occinfo@sunyocc.edu</t>
  </si>
  <si>
    <t xml:space="preserve">Named 2022 - confirm.</t>
  </si>
  <si>
    <t xml:space="preserve">https://onondagalazers.com/news/2022/5/25/occ-launching-e-sports-program.aspx</t>
  </si>
  <si>
    <t xml:space="preserve">Rockland Community College</t>
  </si>
  <si>
    <t xml:space="preserve">Suffern</t>
  </si>
  <si>
    <t xml:space="preserve">admissions@sunyrockland.edu</t>
  </si>
  <si>
    <t xml:space="preserve">SUNY Sullivan</t>
  </si>
  <si>
    <t xml:space="preserve">Loch Sheldrake</t>
  </si>
  <si>
    <t xml:space="preserve">info@sunysullivan.edu</t>
  </si>
  <si>
    <t xml:space="preserve">Suffolk County Community College</t>
  </si>
  <si>
    <t xml:space="preserve">Selden</t>
  </si>
  <si>
    <t xml:space="preserve">Shane</t>
  </si>
  <si>
    <t xml:space="preserve">Gordon</t>
  </si>
  <si>
    <t xml:space="preserve">Head Coach, eSports</t>
  </si>
  <si>
    <t xml:space="preserve">athletics@sunysuffolk.edu</t>
  </si>
  <si>
    <t xml:space="preserve">631-451-4380</t>
  </si>
  <si>
    <t xml:space="preserve">Email is the general athletics inbox.</t>
  </si>
  <si>
    <t xml:space="preserve">https://sunysuffolkathletics.com/sports/esports/coaches/GORDON_SHANE</t>
  </si>
  <si>
    <t xml:space="preserve">Hocking College</t>
  </si>
  <si>
    <t xml:space="preserve">Nelsonville</t>
  </si>
  <si>
    <t xml:space="preserve">OH</t>
  </si>
  <si>
    <t xml:space="preserve">Mark</t>
  </si>
  <si>
    <t xml:space="preserve">Riley</t>
  </si>
  <si>
    <t xml:space="preserve">rileym24177@hocking.edu</t>
  </si>
  <si>
    <t xml:space="preserve">740-753-7209</t>
  </si>
  <si>
    <t xml:space="preserve">Lakeland Community College</t>
  </si>
  <si>
    <t xml:space="preserve">Kirtland</t>
  </si>
  <si>
    <t xml:space="preserve">Jeremiah</t>
  </si>
  <si>
    <t xml:space="preserve">Mrazeck</t>
  </si>
  <si>
    <t xml:space="preserve">jmrazeck2@lakelandcc.edu</t>
  </si>
  <si>
    <t xml:space="preserve">New head coach for 2025-26.</t>
  </si>
  <si>
    <t xml:space="preserve">https://athletics.lakelandcc.edu/sports/esports/coaches/Jeremiah_Mrazeck</t>
  </si>
  <si>
    <t xml:space="preserve">Lorain County Community College</t>
  </si>
  <si>
    <t xml:space="preserve">Elyria</t>
  </si>
  <si>
    <t xml:space="preserve">McClelland</t>
  </si>
  <si>
    <t xml:space="preserve">esports@lorainccc.edu</t>
  </si>
  <si>
    <t xml:space="preserve">440-610-9349</t>
  </si>
  <si>
    <t xml:space="preserve">Asst. coach Rashad Reed (rreed@lorainccc.edu).</t>
  </si>
  <si>
    <t xml:space="preserve">https://loraincounty.prestosports.com/sports/esports/coaches/robert_mclelland</t>
  </si>
  <si>
    <t xml:space="preserve">Northwest State Community College</t>
  </si>
  <si>
    <t xml:space="preserve">Archbold</t>
  </si>
  <si>
    <t xml:space="preserve">sfloyd@northweststate.edu</t>
  </si>
  <si>
    <t xml:space="preserve">Southern State Community College</t>
  </si>
  <si>
    <t xml:space="preserve">Hillsboro</t>
  </si>
  <si>
    <t xml:space="preserve">info@sscc.edu</t>
  </si>
  <si>
    <t xml:space="preserve">Carl Albert State College</t>
  </si>
  <si>
    <t xml:space="preserve">Poteau</t>
  </si>
  <si>
    <t xml:space="preserve">OK</t>
  </si>
  <si>
    <t xml:space="preserve">No public inquiry email: 918-647-1200.</t>
  </si>
  <si>
    <t xml:space="preserve">Murray State College</t>
  </si>
  <si>
    <t xml:space="preserve">Tishomingo</t>
  </si>
  <si>
    <t xml:space="preserve">Bobby</t>
  </si>
  <si>
    <t xml:space="preserve">Alexander</t>
  </si>
  <si>
    <t xml:space="preserve">ralexander@mscok.edu</t>
  </si>
  <si>
    <t xml:space="preserve">580-277-1084</t>
  </si>
  <si>
    <t xml:space="preserve">Seminole State College</t>
  </si>
  <si>
    <t xml:space="preserve">Seminole</t>
  </si>
  <si>
    <t xml:space="preserve">s.morris@sscok.edu</t>
  </si>
  <si>
    <t xml:space="preserve">Joined NJCAAE Sept. 2025.</t>
  </si>
  <si>
    <t xml:space="preserve">https://sscok.edu/_assets/pdfs/sponsored-Grant-programs/NASNTI/newsletters/2025/December NASNTI Newsletter 2025.pdf</t>
  </si>
  <si>
    <t xml:space="preserve">Southwestern Oregon Community College</t>
  </si>
  <si>
    <t xml:space="preserve">Coos Bay</t>
  </si>
  <si>
    <t xml:space="preserve">OR</t>
  </si>
  <si>
    <t xml:space="preserve">No public inquiry email: 541-888-2525.</t>
  </si>
  <si>
    <t xml:space="preserve">Umpqua Community College</t>
  </si>
  <si>
    <t xml:space="preserve">Roseburg</t>
  </si>
  <si>
    <t xml:space="preserve">R.J.</t>
  </si>
  <si>
    <t xml:space="preserve">Mills</t>
  </si>
  <si>
    <t xml:space="preserve">Named 2020 - confirm. No public inquiry email: Admissions 541-440-7743.</t>
  </si>
  <si>
    <t xml:space="preserve">https://umpqua.prestosports.com/sports/esports/2020-21/releases/20200819orrcxa</t>
  </si>
  <si>
    <t xml:space="preserve">Community College of Allegheny County</t>
  </si>
  <si>
    <t xml:space="preserve">Pittsburgh</t>
  </si>
  <si>
    <t xml:space="preserve">PA</t>
  </si>
  <si>
    <t xml:space="preserve">NECC</t>
  </si>
  <si>
    <t xml:space="preserve">Jeffery</t>
  </si>
  <si>
    <t xml:space="preserve">Johnstone</t>
  </si>
  <si>
    <t xml:space="preserve">Esports Program Coordinator</t>
  </si>
  <si>
    <t xml:space="preserve">jjohnstone@ccac.edu</t>
  </si>
  <si>
    <t xml:space="preserve">General: eSports@ccac.edu. Club advisor Andrew Thames (athames@ccac.edu).</t>
  </si>
  <si>
    <t xml:space="preserve">https://www.ccac.edu/campus-life/esports.php</t>
  </si>
  <si>
    <t xml:space="preserve">HACC, Central Pennsylvania's Community College</t>
  </si>
  <si>
    <t xml:space="preserve">Harrisburg</t>
  </si>
  <si>
    <t xml:space="preserve">Neftali</t>
  </si>
  <si>
    <t xml:space="preserve">Perez</t>
  </si>
  <si>
    <t xml:space="preserve">Runs the program's Discord server. No public inquiry email: 800-ABC-HACC; contact form on hacc.edu.</t>
  </si>
  <si>
    <t xml:space="preserve">https://harrisburg.prestosports.com/sports/esports/coaches/Head_Coach_eSports</t>
  </si>
  <si>
    <t xml:space="preserve">Lackawanna College</t>
  </si>
  <si>
    <t xml:space="preserve">Scranton</t>
  </si>
  <si>
    <t xml:space="preserve">Teddy</t>
  </si>
  <si>
    <t xml:space="preserve">Delaney</t>
  </si>
  <si>
    <t xml:space="preserve">Esports Program Administrator</t>
  </si>
  <si>
    <t xml:space="preserve">esports@lackawanna.edu</t>
  </si>
  <si>
    <t xml:space="preserve">570-961-7822</t>
  </si>
  <si>
    <t xml:space="preserve">Alt. email: DeeR@Lackawanna.edu.</t>
  </si>
  <si>
    <t xml:space="preserve">Luzerne County Community College</t>
  </si>
  <si>
    <t xml:space="preserve">Nanticoke</t>
  </si>
  <si>
    <t xml:space="preserve">Kyle</t>
  </si>
  <si>
    <t xml:space="preserve">Davis</t>
  </si>
  <si>
    <t xml:space="preserve">admissions@luzerne.edu</t>
  </si>
  <si>
    <t xml:space="preserve">570-740-0483</t>
  </si>
  <si>
    <t xml:space="preserve">Email is listed on the linked page.</t>
  </si>
  <si>
    <t xml:space="preserve">https://www.luzerne.edu/studentlife/athletics/sport.jsp?id=10</t>
  </si>
  <si>
    <t xml:space="preserve">Montgomery County Community College</t>
  </si>
  <si>
    <t xml:space="preserve">Blue Bell</t>
  </si>
  <si>
    <t xml:space="preserve">Coach not listed publicly. No public inquiry email: 215-641-6300 general inquiries.</t>
  </si>
  <si>
    <t xml:space="preserve">Pennsylvania Highlands Community College</t>
  </si>
  <si>
    <t xml:space="preserve">Johnstown</t>
  </si>
  <si>
    <t xml:space="preserve">Weakley</t>
  </si>
  <si>
    <t xml:space="preserve">jmaul@pennhighlands.edu</t>
  </si>
  <si>
    <t xml:space="preserve">Co-head coach: John Rickabaugh. Email links on the program page.</t>
  </si>
  <si>
    <t xml:space="preserve">https://www.pennhighlands.edu/?p=29965</t>
  </si>
  <si>
    <t xml:space="preserve">Alvin Community College</t>
  </si>
  <si>
    <t xml:space="preserve">Alvin</t>
  </si>
  <si>
    <t xml:space="preserve">TX</t>
  </si>
  <si>
    <t xml:space="preserve">Hiring part-time head coach. No public inquiry email: 281-756-3500; Welcome Center live chat.</t>
  </si>
  <si>
    <t xml:space="preserve">https://careers.insidehighered.com/job/3556889/part-time-e-sports-head-coach/</t>
  </si>
  <si>
    <t xml:space="preserve">Amarillo College</t>
  </si>
  <si>
    <t xml:space="preserve">Amarillo</t>
  </si>
  <si>
    <t xml:space="preserve">George</t>
  </si>
  <si>
    <t xml:space="preserve">esports@actx.edu</t>
  </si>
  <si>
    <t xml:space="preserve">806-679-3519</t>
  </si>
  <si>
    <t xml:space="preserve">Blinn College</t>
  </si>
  <si>
    <t xml:space="preserve">Brenham / Bryan</t>
  </si>
  <si>
    <t xml:space="preserve">Kapiko</t>
  </si>
  <si>
    <t xml:space="preserve">aaron.kapiko@blinn.edu</t>
  </si>
  <si>
    <t xml:space="preserve">979-209-7415</t>
  </si>
  <si>
    <t xml:space="preserve">Fall 2026 contacts listed were asst. coaches Kyle Murto (kyle.murto@blinn.edu) and Ryan Lucich (ryan.lucich@blinn.edu).</t>
  </si>
  <si>
    <t xml:space="preserve">https://www.blinn.edu/news/2026/08/esports-tryouts.html</t>
  </si>
  <si>
    <t xml:space="preserve">Brazosport College</t>
  </si>
  <si>
    <t xml:space="preserve">Lake Jackson</t>
  </si>
  <si>
    <t xml:space="preserve">Featured on NJCAAE site. No public inquiry email: Main site blocks automated lookup; check brazosport.edu.</t>
  </si>
  <si>
    <t xml:space="preserve">https://www.njcaaesports.org/</t>
  </si>
  <si>
    <t xml:space="preserve">Coastal Bend College</t>
  </si>
  <si>
    <t xml:space="preserve">Beeville</t>
  </si>
  <si>
    <t xml:space="preserve">No public inquiry email: Check coastalbend.edu.</t>
  </si>
  <si>
    <t xml:space="preserve">Dallas College</t>
  </si>
  <si>
    <t xml:space="preserve">Dallas</t>
  </si>
  <si>
    <t xml:space="preserve">Sky</t>
  </si>
  <si>
    <t xml:space="preserve">McCort</t>
  </si>
  <si>
    <t xml:space="preserve">smccort@dallascollege.edu</t>
  </si>
  <si>
    <t xml:space="preserve">Coaches several campuses. Director of Esports: Krasi Kolarov.</t>
  </si>
  <si>
    <t xml:space="preserve">https://brookhaven.prestosports.com/sports/esports/coaches/Sky_McCort</t>
  </si>
  <si>
    <t xml:space="preserve">Grayson College</t>
  </si>
  <si>
    <t xml:space="preserve">Denison</t>
  </si>
  <si>
    <t xml:space="preserve">No public inquiry email: 903-465-6030; information inquiry form.</t>
  </si>
  <si>
    <t xml:space="preserve">Midland College</t>
  </si>
  <si>
    <t xml:space="preserve">Midland</t>
  </si>
  <si>
    <t xml:space="preserve">NJCAAE (Engagement League)</t>
  </si>
  <si>
    <t xml:space="preserve">welcome@midland.edu</t>
  </si>
  <si>
    <t xml:space="preserve">Joined NJCAAE Fall 2026; competitive play Spring 2027.</t>
  </si>
  <si>
    <t xml:space="preserve">https://www.govtech.com/education/higher-ed/midland-college-joins-njcaa-esports-league</t>
  </si>
  <si>
    <t xml:space="preserve">Trinity Valley Community College</t>
  </si>
  <si>
    <t xml:space="preserve">Athens</t>
  </si>
  <si>
    <t xml:space="preserve">James</t>
  </si>
  <si>
    <t xml:space="preserve">Jones</t>
  </si>
  <si>
    <t xml:space="preserve">James.jones@tvcc.edu</t>
  </si>
  <si>
    <t xml:space="preserve">903-330-3937</t>
  </si>
  <si>
    <t xml:space="preserve">Salt Lake Community College</t>
  </si>
  <si>
    <t xml:space="preserve">Salt Lake City</t>
  </si>
  <si>
    <t xml:space="preserve">UT</t>
  </si>
  <si>
    <t xml:space="preserve">Jeffrey</t>
  </si>
  <si>
    <t xml:space="preserve">Sosa</t>
  </si>
  <si>
    <t xml:space="preserve">Hired 2023 - confirm. No public inquiry email: Enrollment 801-957-4073.</t>
  </si>
  <si>
    <t xml:space="preserve">https://www.globeslcc.com/2022/11/29/bruin-athletics-new-esports-director-jeffrey-sosa</t>
  </si>
  <si>
    <t xml:space="preserve">2023</t>
  </si>
  <si>
    <t xml:space="preserve">Snow College</t>
  </si>
  <si>
    <t xml:space="preserve">Ephraim</t>
  </si>
  <si>
    <t xml:space="preserve">snowcollege@snow.edu</t>
  </si>
  <si>
    <t xml:space="preserve">https://stats.njcaa.org/general/2020-21/releases/20200831nzu7ll</t>
  </si>
  <si>
    <t xml:space="preserve">Bryant &amp; Stratton College - Virginia Beach</t>
  </si>
  <si>
    <t xml:space="preserve">Virginia Beach</t>
  </si>
  <si>
    <t xml:space="preserve">VA</t>
  </si>
  <si>
    <t xml:space="preserve">No public inquiry email: Check bryantstratton.edu.</t>
  </si>
  <si>
    <t xml:space="preserve">Danville Community College</t>
  </si>
  <si>
    <t xml:space="preserve">Danville</t>
  </si>
  <si>
    <t xml:space="preserve">cpulliam@dcc.vccs.edu</t>
  </si>
  <si>
    <t xml:space="preserve">https://loraincounty.prestosports.com/sports/esports/2024-25/releases/20241003wcd0se</t>
  </si>
  <si>
    <t xml:space="preserve">Northern Virginia Community College</t>
  </si>
  <si>
    <t xml:space="preserve">Annandale</t>
  </si>
  <si>
    <t xml:space="preserve">MAEC</t>
  </si>
  <si>
    <t xml:space="preserve">CJ</t>
  </si>
  <si>
    <t xml:space="preserve">LoL head coach: Jordan Whitaker. No public inquiry email: NOVA Call Center / 24-hr Student Support Center.</t>
  </si>
  <si>
    <t xml:space="preserve">https://northernvirginiamag.com/?p=503895</t>
  </si>
  <si>
    <t xml:space="preserve">Patrick &amp; Henry Community College</t>
  </si>
  <si>
    <t xml:space="preserve">Martinsville</t>
  </si>
  <si>
    <t xml:space="preserve">No public inquiry email: 276-638-8777; 'Talk to Us' form.</t>
  </si>
  <si>
    <t xml:space="preserve">Paul D. Camp Community College</t>
  </si>
  <si>
    <t xml:space="preserve">Suffolk</t>
  </si>
  <si>
    <t xml:space="preserve">Hiring esports coach (posting closes 10/15/2026); posting contact Gregory Rountree. No public inquiry email: Main site blocks automated lookup; check pdc.edu.</t>
  </si>
  <si>
    <t xml:space="preserve">https://jobs.vccs.edu/postings/101724</t>
  </si>
  <si>
    <t xml:space="preserve">Tidewater Community College</t>
  </si>
  <si>
    <t xml:space="preserve">Norfolk</t>
  </si>
  <si>
    <t xml:space="preserve">info@tcc.edu</t>
  </si>
  <si>
    <t xml:space="preserve">Program is hiring game coaches.</t>
  </si>
  <si>
    <t xml:space="preserve">https://jobboard.simplifaster.com/?p=10305</t>
  </si>
  <si>
    <t xml:space="preserve">Centralia College</t>
  </si>
  <si>
    <t xml:space="preserve">Centralia</t>
  </si>
  <si>
    <t xml:space="preserve">WA</t>
  </si>
  <si>
    <t xml:space="preserve">admissionsCC@centralia.edu</t>
  </si>
  <si>
    <t xml:space="preserve">https://cbchawks.com/news/2023/7/27/general-cbc-begins-e-sports-era-with-first-signing-ceremony.aspx</t>
  </si>
  <si>
    <t xml:space="preserve">Columbia Basin College</t>
  </si>
  <si>
    <t xml:space="preserve">Pasco</t>
  </si>
  <si>
    <t xml:space="preserve">Joel</t>
  </si>
  <si>
    <t xml:space="preserve">Harvey</t>
  </si>
  <si>
    <t xml:space="preserve">E-Sports Head Coach</t>
  </si>
  <si>
    <t xml:space="preserve">2025 NJCAAE Rocket League finalist. No public inquiry email: Check columbiabasin.edu.</t>
  </si>
  <si>
    <t xml:space="preserve">https://cbchawks.com/sports/e-sports/roster</t>
  </si>
  <si>
    <t xml:space="preserve">Peninsula College</t>
  </si>
  <si>
    <t xml:space="preserve">Port Angeles</t>
  </si>
  <si>
    <t xml:space="preserve">admissions@pencol.edu</t>
  </si>
  <si>
    <t xml:space="preserve">Lakeshore Technical College</t>
  </si>
  <si>
    <t xml:space="preserve">Cleveland</t>
  </si>
  <si>
    <t xml:space="preserve">WI</t>
  </si>
  <si>
    <t xml:space="preserve">tanya.jaeger@gotoltc.edu</t>
  </si>
  <si>
    <t xml:space="preserve">Madison College</t>
  </si>
  <si>
    <t xml:space="preserve">Madison</t>
  </si>
  <si>
    <t xml:space="preserve">enrollmentservices@madisoncollege.edu</t>
  </si>
  <si>
    <t xml:space="preserve">Longtime coach Joe Hanson reportedly stepped down in 2026; confirm current coach. Many NJCAAE titles.</t>
  </si>
  <si>
    <t xml:space="preserve">https://madisoncollege.edu/about/news/esports-smashing-success-madison-college</t>
  </si>
  <si>
    <t xml:space="preserve">Potomac State College of WVU</t>
  </si>
  <si>
    <t xml:space="preserve">Keyser</t>
  </si>
  <si>
    <t xml:space="preserve">WV</t>
  </si>
  <si>
    <t xml:space="preserve">go2psc@mail.wvu.edu</t>
  </si>
  <si>
    <t xml:space="preserve">Laramie County Community College</t>
  </si>
  <si>
    <t xml:space="preserve">Cheyenne</t>
  </si>
  <si>
    <t xml:space="preserve">WY</t>
  </si>
  <si>
    <t xml:space="preserve">Kershaw</t>
  </si>
  <si>
    <t xml:space="preserve">Hired 2023. CoD Warzone national champions. No public inquiry email: Admissions 307-778-1212; request-info form.</t>
  </si>
  <si>
    <t xml:space="preserve">https://www.lccc.wy.edu/news/2023-8-2_esports_coach.aspx</t>
  </si>
  <si>
    <t xml:space="preserve">Northwest College</t>
  </si>
  <si>
    <t xml:space="preserve">Powell</t>
  </si>
  <si>
    <t xml:space="preserve">Dugger</t>
  </si>
  <si>
    <t xml:space="preserve">christopher.dugger@nwc.edu</t>
  </si>
  <si>
    <t xml:space="preserve">307-754-6205</t>
  </si>
  <si>
    <t xml:space="preserve">https://nwctrappers.com/sports/esports/coaches/Chris_Dugger</t>
  </si>
  <si>
    <t xml:space="preserve">NCEO Outreach Summary</t>
  </si>
  <si>
    <t xml:space="preserve">Colleges on list</t>
  </si>
  <si>
    <t xml:space="preserve">With a named contact</t>
  </si>
  <si>
    <t xml:space="preserve">With any email address</t>
  </si>
  <si>
    <t xml:space="preserve">  Coach / program email</t>
  </si>
  <si>
    <t xml:space="preserve">  General / admissions / athletics</t>
  </si>
  <si>
    <t xml:space="preserve">Interest rate (of contacted)</t>
  </si>
  <si>
    <t xml:space="preserve">Still to contact</t>
  </si>
  <si>
    <t xml:space="preserve">By state</t>
  </si>
  <si>
    <t xml:space="preserve">Colleges</t>
  </si>
  <si>
    <t xml:space="preserve">How to use this list</t>
  </si>
  <si>
    <t xml:space="preserve">Contacted / Interested: set each cell to TRUE or FALSE from the dropdown. Rows turn blue when contacted and green when interested.</t>
  </si>
  <si>
    <t xml:space="preserve">Want real clickable checkboxes? In Excel 365: select L2:M(last row) &gt; Insert &gt; Checkbox. In Google Sheets: select the range &gt; Insert &gt; Checkbox. The TRUE/FALSE values convert automatically.</t>
  </si>
  <si>
    <t xml:space="preserve">Date Contacted / Follow-Up Date: enter dates (mm/dd/yyyy). Notes: free text for your call/email history.</t>
  </si>
  <si>
    <t xml:space="preserve">Email Type tells you who an address reaches:</t>
  </si>
  <si>
    <t xml:space="preserve">   Coach / program = the esports coach, director, or program inbox.</t>
  </si>
  <si>
    <t xml:space="preserve">   General inquiry (college) = the college's own info/admissions inbox, taken from its website. Ask them to forward to the esports coach.</t>
  </si>
  <si>
    <t xml:space="preserve">   Admissions staff (verify) = a named admissions staffer from the Peterson's college directory; may be outdated, so check before sending.</t>
  </si>
  <si>
    <t xml:space="preserve">   Athletics office = the athletics department inbox.</t>
  </si>
  <si>
    <t xml:space="preserve">   None published = the college only offers a web form or phone; the number is in Notes.</t>
  </si>
  <si>
    <t xml:space="preserve">Yellow Email cells = no email found. Info Last Seen = the year of the source for coach details; confirm anything 2022 or older.</t>
  </si>
  <si>
    <t xml:space="preserve">How the list was built (Oct 2026)</t>
  </si>
  <si>
    <t xml:space="preserve">NJCAA Esports (NJCAAE), the main 2-year association (200+ members), does not publish a public member directory, so schools were gathered from college athletics sites, league schedules/results, NACE member lists, news coverage, and the NAECAD Collegiate Esports Guide.</t>
  </si>
  <si>
    <t xml:space="preserve">Contact names and emails are only ones the colleges or official guides list publicly. Discord handles are rarely public, so that column is mostly empty for you to fill in.</t>
  </si>
  <si>
    <t xml:space="preserve">This is not every 2-year program in the country. Good next sources: NJCAAE's competition platform standings (LeagueOS), NJCAA region pages, and asking contacts who else is in their conference.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</si>
</sst>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m/dd/yyyy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i val="true"/>
      <sz val="10"/>
      <color rgb="FF7A5C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7A5C00"/>
          <bgColor rgb="FF000000"/>
        </patternFill>
      </fill>
    </dxf>
    <dxf>
      <fill>
        <patternFill>
          <bgColor rgb="FFD9F2E3"/>
        </patternFill>
      </fill>
    </dxf>
    <dxf>
      <fill>
        <patternFill>
          <bgColor rgb="FFE3ECFA"/>
        </patternFill>
      </fill>
    </dxf>
    <dxf>
      <fill>
        <patternFill>
          <bgColor rgb="FFFFF4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4CC"/>
      <rgbColor rgb="FFE3ECFA"/>
      <rgbColor rgb="FF660066"/>
      <rgbColor rgb="FFFF8080"/>
      <rgbColor rgb="FF1155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groce@sheltonstate.edu" TargetMode="External"/><Relationship Id="rId2" Type="http://schemas.openxmlformats.org/officeDocument/2006/relationships/hyperlink" Target="https://athletics.sheltonstate.edu/information/directory/bios/groce-khaleb" TargetMode="External"/><Relationship Id="rId3" Type="http://schemas.openxmlformats.org/officeDocument/2006/relationships/hyperlink" Target="mailto:jharrison@uarichmountain.edu" TargetMode="External"/><Relationship Id="rId4" Type="http://schemas.openxmlformats.org/officeDocument/2006/relationships/hyperlink" Target="https://bucksathletics.prestosports.com/sports/esports/coaches/jack_harrison" TargetMode="External"/><Relationship Id="rId5" Type="http://schemas.openxmlformats.org/officeDocument/2006/relationships/hyperlink" Target="mailto:amasterson@mohave.edu" TargetMode="External"/><Relationship Id="rId6" Type="http://schemas.openxmlformats.org/officeDocument/2006/relationships/hyperlink" Target="https://en.wikipedia.org/wiki/National_Association_of_Collegiate_Esports" TargetMode="External"/><Relationship Id="rId7" Type="http://schemas.openxmlformats.org/officeDocument/2006/relationships/hyperlink" Target="https://www.cccco.edu/About-Us/News-and-Media/ccc-outlook-newsletter-archive/ivc-coastline-esports" TargetMode="External"/><Relationship Id="rId8" Type="http://schemas.openxmlformats.org/officeDocument/2006/relationships/hyperlink" Target="https://productiverecruit.com/athletic-scholarships/esports/iowa/iowa-western-community-college" TargetMode="External"/><Relationship Id="rId9" Type="http://schemas.openxmlformats.org/officeDocument/2006/relationships/hyperlink" Target="https://www.cccco.edu/About-Us/News-and-Media/ccc-outlook-newsletter-archive/ivc-coastline-esports" TargetMode="External"/><Relationship Id="rId10" Type="http://schemas.openxmlformats.org/officeDocument/2006/relationships/hyperlink" Target="https://lbcc.edu/showcase-1/fans-can-catch-all-exciting-action-our-youtube-channel-lbccesports9379" TargetMode="External"/><Relationship Id="rId11" Type="http://schemas.openxmlformats.org/officeDocument/2006/relationships/hyperlink" Target="mailto:TS.Admissions@trinidadstate.edu" TargetMode="External"/><Relationship Id="rId12" Type="http://schemas.openxmlformats.org/officeDocument/2006/relationships/hyperlink" Target="https://trinidadstate.edu/esports/index.html" TargetMode="External"/><Relationship Id="rId13" Type="http://schemas.openxmlformats.org/officeDocument/2006/relationships/hyperlink" Target="https://www.dscfalcons.com/sports/esports/coaches/sebastian_morales" TargetMode="External"/><Relationship Id="rId14" Type="http://schemas.openxmlformats.org/officeDocument/2006/relationships/hyperlink" Target="mailto:holly.grimm@hawkeyecollege.edu" TargetMode="External"/><Relationship Id="rId15" Type="http://schemas.openxmlformats.org/officeDocument/2006/relationships/hyperlink" Target="https://redtailathletics.com/sports/esports/coaches/Ryan_Goeke_Bio" TargetMode="External"/><Relationship Id="rId16" Type="http://schemas.openxmlformats.org/officeDocument/2006/relationships/hyperlink" Target="mailto:morlan@iowacentral.edu" TargetMode="External"/><Relationship Id="rId17" Type="http://schemas.openxmlformats.org/officeDocument/2006/relationships/hyperlink" Target="https://ictritons.prestosports.com/sports/esports/coaches/morlan_sam" TargetMode="External"/><Relationship Id="rId18" Type="http://schemas.openxmlformats.org/officeDocument/2006/relationships/hyperlink" Target="mailto:wriccetti@iwcc.edu" TargetMode="External"/><Relationship Id="rId19" Type="http://schemas.openxmlformats.org/officeDocument/2006/relationships/hyperlink" Target="https://goreivers.com/sports/esports/coaches/billricetti" TargetMode="External"/><Relationship Id="rId20" Type="http://schemas.openxmlformats.org/officeDocument/2006/relationships/hyperlink" Target="mailto:mccinfo@iavalley.edu" TargetMode="External"/><Relationship Id="rId21" Type="http://schemas.openxmlformats.org/officeDocument/2006/relationships/hyperlink" Target="https://mccathletics.com/sports/esports/coaches/Nate_Rodemeyer" TargetMode="External"/><Relationship Id="rId22" Type="http://schemas.openxmlformats.org/officeDocument/2006/relationships/hyperlink" Target="mailto:mike.craig@witcc.edu" TargetMode="External"/><Relationship Id="rId23" Type="http://schemas.openxmlformats.org/officeDocument/2006/relationships/hyperlink" Target="https://bytespeed.com/naecad-collegiate-esports-guide/" TargetMode="External"/><Relationship Id="rId24" Type="http://schemas.openxmlformats.org/officeDocument/2006/relationships/hyperlink" Target="https://clclancers.com/staff-directory/matthew-hixon/28" TargetMode="External"/><Relationship Id="rId25" Type="http://schemas.openxmlformats.org/officeDocument/2006/relationships/hyperlink" Target="mailto:frc@heartland.edu" TargetMode="External"/><Relationship Id="rId26" Type="http://schemas.openxmlformats.org/officeDocument/2006/relationships/hyperlink" Target="https://www.heartland.edu/news/2024/6.2024BelcherEsportsCoach062524.html" TargetMode="External"/><Relationship Id="rId27" Type="http://schemas.openxmlformats.org/officeDocument/2006/relationships/hyperlink" Target="mailto:ghorta@kish.edu" TargetMode="External"/><Relationship Id="rId28" Type="http://schemas.openxmlformats.org/officeDocument/2006/relationships/hyperlink" Target="https://productiverecruit.com/athletic-scholarships/esports/kansas/highland-community-college" TargetMode="External"/><Relationship Id="rId29" Type="http://schemas.openxmlformats.org/officeDocument/2006/relationships/hyperlink" Target="mailto:robin.ackman@llcc.edu" TargetMode="External"/><Relationship Id="rId30" Type="http://schemas.openxmlformats.org/officeDocument/2006/relationships/hyperlink" Target="https://productiverecruit.com/athletic-scholarships/esports/michigan/muskegon-community-college" TargetMode="External"/><Relationship Id="rId31" Type="http://schemas.openxmlformats.org/officeDocument/2006/relationships/hyperlink" Target="https://productiverecruit.com/athletic-scholarships/esports/pennsylvania/montgomery-county-community-college" TargetMode="External"/><Relationship Id="rId32" Type="http://schemas.openxmlformats.org/officeDocument/2006/relationships/hyperlink" Target="mailto:admissions@bartonccc.edu" TargetMode="External"/><Relationship Id="rId33" Type="http://schemas.openxmlformats.org/officeDocument/2006/relationships/hyperlink" Target="https://productiverecruit.com/athletic-scholarships/esports/kansas/highland-community-college" TargetMode="External"/><Relationship Id="rId34" Type="http://schemas.openxmlformats.org/officeDocument/2006/relationships/hyperlink" Target="mailto:admissions@coffeyville.edu" TargetMode="External"/><Relationship Id="rId35" Type="http://schemas.openxmlformats.org/officeDocument/2006/relationships/hyperlink" Target="https://www.coffeyville.edu/student-organizations-and-activities/esports/esports-coach" TargetMode="External"/><Relationship Id="rId36" Type="http://schemas.openxmlformats.org/officeDocument/2006/relationships/hyperlink" Target="mailto:bens@fortscott.edu" TargetMode="External"/><Relationship Id="rId37" Type="http://schemas.openxmlformats.org/officeDocument/2006/relationships/hyperlink" Target="https://fortscott.prestosports.com/sports/esports/coaches/Ben_Souza" TargetMode="External"/><Relationship Id="rId38" Type="http://schemas.openxmlformats.org/officeDocument/2006/relationships/hyperlink" Target="mailto:mitchell.margaris@hesston.edu" TargetMode="External"/><Relationship Id="rId39" Type="http://schemas.openxmlformats.org/officeDocument/2006/relationships/hyperlink" Target="https://hesston.edu/about/leadership-faculty-and-staff/faculty-and-staff-directory/mitchell-margaris" TargetMode="External"/><Relationship Id="rId40" Type="http://schemas.openxmlformats.org/officeDocument/2006/relationships/hyperlink" Target="mailto:admissions@highland.edu" TargetMode="External"/><Relationship Id="rId41" Type="http://schemas.openxmlformats.org/officeDocument/2006/relationships/hyperlink" Target="https://productiverecruit.com/athletic-scholarships/esports/kansas/highland-community-college" TargetMode="External"/><Relationship Id="rId42" Type="http://schemas.openxmlformats.org/officeDocument/2006/relationships/hyperlink" Target="mailto:bthornton@indycc.edu" TargetMode="External"/><Relationship Id="rId43" Type="http://schemas.openxmlformats.org/officeDocument/2006/relationships/hyperlink" Target="https://en.wikipedia.org/wiki/National_Association_of_Collegiate_Esports" TargetMode="External"/><Relationship Id="rId44" Type="http://schemas.openxmlformats.org/officeDocument/2006/relationships/hyperlink" Target="mailto:charlesk@prattcc.edu" TargetMode="External"/><Relationship Id="rId45" Type="http://schemas.openxmlformats.org/officeDocument/2006/relationships/hyperlink" Target="https://bytespeed.com/naecad-collegiate-esports-guide/" TargetMode="External"/><Relationship Id="rId46" Type="http://schemas.openxmlformats.org/officeDocument/2006/relationships/hyperlink" Target="mailto:eric.volden@sccc.edu" TargetMode="External"/><Relationship Id="rId47" Type="http://schemas.openxmlformats.org/officeDocument/2006/relationships/hyperlink" Target="https://seward.prestosports.com/sports/esports/coaches/Eric_Volden" TargetMode="External"/><Relationship Id="rId48" Type="http://schemas.openxmlformats.org/officeDocument/2006/relationships/hyperlink" Target="mailto:admissions@massbay.edu" TargetMode="External"/><Relationship Id="rId49" Type="http://schemas.openxmlformats.org/officeDocument/2006/relationships/hyperlink" Target="https://productiverecruit.com/athletic-scholarships/esports/iowa/iowa-western-community-college" TargetMode="External"/><Relationship Id="rId50" Type="http://schemas.openxmlformats.org/officeDocument/2006/relationships/hyperlink" Target="mailto:enrollmentservices@necc.mass.edu" TargetMode="External"/><Relationship Id="rId51" Type="http://schemas.openxmlformats.org/officeDocument/2006/relationships/hyperlink" Target="https://en.wikipedia.org/wiki/College_esports_in_the_United_States" TargetMode="External"/><Relationship Id="rId52" Type="http://schemas.openxmlformats.org/officeDocument/2006/relationships/hyperlink" Target="mailto:wcjohnson2@aacc.edu" TargetMode="External"/><Relationship Id="rId53" Type="http://schemas.openxmlformats.org/officeDocument/2006/relationships/hyperlink" Target="https://aacc.prestosports.com/sports/esports/coaches/Conway_Johnson" TargetMode="External"/><Relationship Id="rId54" Type="http://schemas.openxmlformats.org/officeDocument/2006/relationships/hyperlink" Target="https://www.animationcareerreview.com/articles/list-us-colleges-varsity-esports-programs" TargetMode="External"/><Relationship Id="rId55" Type="http://schemas.openxmlformats.org/officeDocument/2006/relationships/hyperlink" Target="mailto:adeshaies@mainecc.edu" TargetMode="External"/><Relationship Id="rId56" Type="http://schemas.openxmlformats.org/officeDocument/2006/relationships/hyperlink" Target="https://yorkcountyhawks.com/ESports_makes_move_to_NJCAAe" TargetMode="External"/><Relationship Id="rId57" Type="http://schemas.openxmlformats.org/officeDocument/2006/relationships/hyperlink" Target="mailto:info@gogebic.edu" TargetMode="External"/><Relationship Id="rId58" Type="http://schemas.openxmlformats.org/officeDocument/2006/relationships/hyperlink" Target="https://www.hawkeyecollege.edu/articles/news/hawkeye-community-college-esports-program-caps-undefeated-season-with-national-title" TargetMode="External"/><Relationship Id="rId59" Type="http://schemas.openxmlformats.org/officeDocument/2006/relationships/hyperlink" Target="mailto:admissions@jccmi.edu" TargetMode="External"/><Relationship Id="rId60" Type="http://schemas.openxmlformats.org/officeDocument/2006/relationships/hyperlink" Target="https://productiverecruit.com/athletic-scholarships/esports/kansas/highland-community-college" TargetMode="External"/><Relationship Id="rId61" Type="http://schemas.openxmlformats.org/officeDocument/2006/relationships/hyperlink" Target="mailto:johnathon.skidmore@muskegoncc.edu" TargetMode="External"/><Relationship Id="rId62" Type="http://schemas.openxmlformats.org/officeDocument/2006/relationships/hyperlink" Target="https://fox17online.com/news/local-news/muskegon-community-college-launching-esports-program" TargetMode="External"/><Relationship Id="rId63" Type="http://schemas.openxmlformats.org/officeDocument/2006/relationships/hyperlink" Target="mailto:admissions@nmc.edu" TargetMode="External"/><Relationship Id="rId64" Type="http://schemas.openxmlformats.org/officeDocument/2006/relationships/hyperlink" Target="https://waketech.prestosports.com/sports/esports/2022-23/releases/20221123j6z3l4" TargetMode="External"/><Relationship Id="rId65" Type="http://schemas.openxmlformats.org/officeDocument/2006/relationships/hyperlink" Target="mailto:enrollment@sc4.edu" TargetMode="External"/><Relationship Id="rId66" Type="http://schemas.openxmlformats.org/officeDocument/2006/relationships/hyperlink" Target="https://productiverecruit.com/athletic-scholarships/esports/iowa/iowa-western-community-college" TargetMode="External"/><Relationship Id="rId67" Type="http://schemas.openxmlformats.org/officeDocument/2006/relationships/hyperlink" Target="mailto:jamesdickey@crowder.edu" TargetMode="External"/><Relationship Id="rId68" Type="http://schemas.openxmlformats.org/officeDocument/2006/relationships/hyperlink" Target="https://en.wikipedia.org/wiki/College_esports_in_the_United_States" TargetMode="External"/><Relationship Id="rId69" Type="http://schemas.openxmlformats.org/officeDocument/2006/relationships/hyperlink" Target="mailto:apinnon@missouristate.edu" TargetMode="External"/><Relationship Id="rId70" Type="http://schemas.openxmlformats.org/officeDocument/2006/relationships/hyperlink" Target="https://bytespeed.com/naecad-collegiate-esports-guide/" TargetMode="External"/><Relationship Id="rId71" Type="http://schemas.openxmlformats.org/officeDocument/2006/relationships/hyperlink" Target="mailto:cflowers@mail.ncmissouri.edu" TargetMode="External"/><Relationship Id="rId72" Type="http://schemas.openxmlformats.org/officeDocument/2006/relationships/hyperlink" Target="https://ncmc.prestosports.com/sports/esports/Coaches/Chris_Flowers" TargetMode="External"/><Relationship Id="rId73" Type="http://schemas.openxmlformats.org/officeDocument/2006/relationships/hyperlink" Target="mailto:fordt@otc.edu" TargetMode="External"/><Relationship Id="rId74" Type="http://schemas.openxmlformats.org/officeDocument/2006/relationships/hyperlink" Target="https://students.otc.edu/financialaid/job/esports-assistant/" TargetMode="External"/><Relationship Id="rId75" Type="http://schemas.openxmlformats.org/officeDocument/2006/relationships/hyperlink" Target="mailto:admissions@stchas.edu" TargetMode="External"/><Relationship Id="rId76" Type="http://schemas.openxmlformats.org/officeDocument/2006/relationships/hyperlink" Target="https://stchas.edu/who-we-are/news/archive/2026/valorant_team_becomes_njcaaet3_champions_and_other_successes.php" TargetMode="External"/><Relationship Id="rId77" Type="http://schemas.openxmlformats.org/officeDocument/2006/relationships/hyperlink" Target="mailto:rcruz9@stlcc.edu" TargetMode="External"/><Relationship Id="rId78" Type="http://schemas.openxmlformats.org/officeDocument/2006/relationships/hyperlink" Target="https://stlcc.prestosports.com/sports/Esports/coaches/Robert_Cruz" TargetMode="External"/><Relationship Id="rId79" Type="http://schemas.openxmlformats.org/officeDocument/2006/relationships/hyperlink" Target="mailto:jcoleman1@sfccmo.edu" TargetMode="External"/><Relationship Id="rId80" Type="http://schemas.openxmlformats.org/officeDocument/2006/relationships/hyperlink" Target="https://statefaircc.prestosports.com/sports/esports/coaches/Jacob_Coleman" TargetMode="External"/><Relationship Id="rId81" Type="http://schemas.openxmlformats.org/officeDocument/2006/relationships/hyperlink" Target="mailto:admissions@statetechmo.edu" TargetMode="External"/><Relationship Id="rId82" Type="http://schemas.openxmlformats.org/officeDocument/2006/relationships/hyperlink" Target="https://waketech.prestosports.com/sports/esports/2023-24/releases/20231112lwkmks" TargetMode="External"/><Relationship Id="rId83" Type="http://schemas.openxmlformats.org/officeDocument/2006/relationships/hyperlink" Target="https://productiverecruit.com/athletic-scholarships/esports/kansas/highland-community-college" TargetMode="External"/><Relationship Id="rId84" Type="http://schemas.openxmlformats.org/officeDocument/2006/relationships/hyperlink" Target="mailto:info@dawson.edu" TargetMode="External"/><Relationship Id="rId85" Type="http://schemas.openxmlformats.org/officeDocument/2006/relationships/hyperlink" Target="https://productiverecruit.com/athletic-scholarships/esports/iowa/iowa-central-community-college" TargetMode="External"/><Relationship Id="rId86" Type="http://schemas.openxmlformats.org/officeDocument/2006/relationships/hyperlink" Target="https://theonlineclarion.com/sports/2025/01/21/esports-team-earns-another-national-title-its-3rd-straight" TargetMode="External"/><Relationship Id="rId87" Type="http://schemas.openxmlformats.org/officeDocument/2006/relationships/hyperlink" Target="mailto:tmnguyen3@gtcc.edu" TargetMode="External"/><Relationship Id="rId88" Type="http://schemas.openxmlformats.org/officeDocument/2006/relationships/hyperlink" Target="https://www.gtcc.edu/student-life/athletics/esports.php" TargetMode="External"/><Relationship Id="rId89" Type="http://schemas.openxmlformats.org/officeDocument/2006/relationships/hyperlink" Target="mailto:lccommunications@louisburg.edu" TargetMode="External"/><Relationship Id="rId90" Type="http://schemas.openxmlformats.org/officeDocument/2006/relationships/hyperlink" Target="https://productiverecruit.com/athletic-scholarships/esports/kansas/highland-community-college" TargetMode="External"/><Relationship Id="rId91" Type="http://schemas.openxmlformats.org/officeDocument/2006/relationships/hyperlink" Target="mailto:navigate@spcc.edu" TargetMode="External"/><Relationship Id="rId92" Type="http://schemas.openxmlformats.org/officeDocument/2006/relationships/hyperlink" Target="https://www.nccommunitycolleges.edu/about-us/jobs/esports-coach-student-life-communications-coordinator-part-time/" TargetMode="External"/><Relationship Id="rId93" Type="http://schemas.openxmlformats.org/officeDocument/2006/relationships/hyperlink" Target="mailto:pwmcnair@waketech.edu" TargetMode="External"/><Relationship Id="rId94" Type="http://schemas.openxmlformats.org/officeDocument/2006/relationships/hyperlink" Target="https://waketechsports.com/sports/Esports/coaches/PatrickMcNair" TargetMode="External"/><Relationship Id="rId95" Type="http://schemas.openxmlformats.org/officeDocument/2006/relationships/hyperlink" Target="mailto:bsc.admissions@bismarckstate.edu" TargetMode="External"/><Relationship Id="rId96" Type="http://schemas.openxmlformats.org/officeDocument/2006/relationships/hyperlink" Target="https://productiverecruit.com/athletic-scholarships/esports/michigan/muskegon-community-college" TargetMode="External"/><Relationship Id="rId97" Type="http://schemas.openxmlformats.org/officeDocument/2006/relationships/hyperlink" Target="https://en.wikipedia.org/wiki/National_Association_of_Collegiate_Esports" TargetMode="External"/><Relationship Id="rId98" Type="http://schemas.openxmlformats.org/officeDocument/2006/relationships/hyperlink" Target="mailto:lucaslumbra@cccneb.edu" TargetMode="External"/><Relationship Id="rId99" Type="http://schemas.openxmlformats.org/officeDocument/2006/relationships/hyperlink" Target="https://cccneb.prestosports.com/information/directory/Lucas_Lumbra" TargetMode="External"/><Relationship Id="rId100" Type="http://schemas.openxmlformats.org/officeDocument/2006/relationships/hyperlink" Target="mailto:admissions@southeast.edu" TargetMode="External"/><Relationship Id="rId101" Type="http://schemas.openxmlformats.org/officeDocument/2006/relationships/hyperlink" Target="https://waketech.prestosports.com/sports/esports/2023-24/schedule" TargetMode="External"/><Relationship Id="rId102" Type="http://schemas.openxmlformats.org/officeDocument/2006/relationships/hyperlink" Target="mailto:askgreatbay@ccsnh.edu" TargetMode="External"/><Relationship Id="rId103" Type="http://schemas.openxmlformats.org/officeDocument/2006/relationships/hyperlink" Target="https://en.wikipedia.org/wiki/National_Association_of_Collegiate_Esports" TargetMode="External"/><Relationship Id="rId104" Type="http://schemas.openxmlformats.org/officeDocument/2006/relationships/hyperlink" Target="mailto:cboehmer@brookdalecc.edu" TargetMode="External"/><Relationship Id="rId105" Type="http://schemas.openxmlformats.org/officeDocument/2006/relationships/hyperlink" Target="https://www.brookdalecc.edu/esports/" TargetMode="External"/><Relationship Id="rId106" Type="http://schemas.openxmlformats.org/officeDocument/2006/relationships/hyperlink" Target="mailto:admissions@camdencc.edu" TargetMode="External"/><Relationship Id="rId107" Type="http://schemas.openxmlformats.org/officeDocument/2006/relationships/hyperlink" Target="https://www.bestcolleges.com/news/love-esports-here-are-all-the-colleges-with-esports-teams/" TargetMode="External"/><Relationship Id="rId108" Type="http://schemas.openxmlformats.org/officeDocument/2006/relationships/hyperlink" Target="mailto:occ-e-sports@ocean.edu" TargetMode="External"/><Relationship Id="rId109" Type="http://schemas.openxmlformats.org/officeDocument/2006/relationships/hyperlink" Target="https://oceancc.prestosports.com/genrel/12-11-20_OCC_Esports_To_Add_3_Games_to_Season" TargetMode="External"/><Relationship Id="rId110" Type="http://schemas.openxmlformats.org/officeDocument/2006/relationships/hyperlink" Target="mailto:lcarter0761@pccc.edu" TargetMode="External"/><Relationship Id="rId111" Type="http://schemas.openxmlformats.org/officeDocument/2006/relationships/hyperlink" Target="https://pccc.edu/meet-lamar-carter-pcccs-new-esports-coordinator-coach/" TargetMode="External"/><Relationship Id="rId112" Type="http://schemas.openxmlformats.org/officeDocument/2006/relationships/hyperlink" Target="mailto:admissions@sussex.edu" TargetMode="External"/><Relationship Id="rId113" Type="http://schemas.openxmlformats.org/officeDocument/2006/relationships/hyperlink" Target="https://sussex.edu/about-sussex/jobs/sussex-jobs/pt-coach-esports" TargetMode="External"/><Relationship Id="rId114" Type="http://schemas.openxmlformats.org/officeDocument/2006/relationships/hyperlink" Target="https://waketech.prestosports.com/sports/esports/2023-24/schedule" TargetMode="External"/><Relationship Id="rId115" Type="http://schemas.openxmlformats.org/officeDocument/2006/relationships/hyperlink" Target="mailto:admissions@sunydutchess.edu" TargetMode="External"/><Relationship Id="rId116" Type="http://schemas.openxmlformats.org/officeDocument/2006/relationships/hyperlink" Target="https://productiverecruit.com/athletic-scholarships/esports/iowa/iowa-western-community-college" TargetMode="External"/><Relationship Id="rId117" Type="http://schemas.openxmlformats.org/officeDocument/2006/relationships/hyperlink" Target="mailto:admissions@flcc.edu" TargetMode="External"/><Relationship Id="rId118" Type="http://schemas.openxmlformats.org/officeDocument/2006/relationships/hyperlink" Target="https://productiverecruit.com/athletic-scholarships/esports/kansas/highland-community-college" TargetMode="External"/><Relationship Id="rId119" Type="http://schemas.openxmlformats.org/officeDocument/2006/relationships/hyperlink" Target="mailto:a.hebert@hvcc.edu" TargetMode="External"/><Relationship Id="rId120" Type="http://schemas.openxmlformats.org/officeDocument/2006/relationships/hyperlink" Target="https://hvcc.prestosports.com/sports/esports/coaches/Aaron_Hebert" TargetMode="External"/><Relationship Id="rId121" Type="http://schemas.openxmlformats.org/officeDocument/2006/relationships/hyperlink" Target="https://productiverecruit.com/athletic-scholarships/esports/pennsylvania/montgomery-county-community-college" TargetMode="External"/><Relationship Id="rId122" Type="http://schemas.openxmlformats.org/officeDocument/2006/relationships/hyperlink" Target="mailto:occinfo@sunyocc.edu" TargetMode="External"/><Relationship Id="rId123" Type="http://schemas.openxmlformats.org/officeDocument/2006/relationships/hyperlink" Target="https://onondagalazers.com/news/2022/5/25/occ-launching-e-sports-program.aspx" TargetMode="External"/><Relationship Id="rId124" Type="http://schemas.openxmlformats.org/officeDocument/2006/relationships/hyperlink" Target="mailto:admissions@sunyrockland.edu" TargetMode="External"/><Relationship Id="rId125" Type="http://schemas.openxmlformats.org/officeDocument/2006/relationships/hyperlink" Target="https://productiverecruit.com/athletic-scholarships/esports/iowa/iowa-western-community-college" TargetMode="External"/><Relationship Id="rId126" Type="http://schemas.openxmlformats.org/officeDocument/2006/relationships/hyperlink" Target="mailto:info@sunysullivan.edu" TargetMode="External"/><Relationship Id="rId127" Type="http://schemas.openxmlformats.org/officeDocument/2006/relationships/hyperlink" Target="https://productiverecruit.com/athletic-scholarships/esports/kansas/highland-community-college" TargetMode="External"/><Relationship Id="rId128" Type="http://schemas.openxmlformats.org/officeDocument/2006/relationships/hyperlink" Target="mailto:athletics@sunysuffolk.edu" TargetMode="External"/><Relationship Id="rId129" Type="http://schemas.openxmlformats.org/officeDocument/2006/relationships/hyperlink" Target="https://sunysuffolkathletics.com/sports/esports/coaches/GORDON_SHANE" TargetMode="External"/><Relationship Id="rId130" Type="http://schemas.openxmlformats.org/officeDocument/2006/relationships/hyperlink" Target="mailto:rileym24177@hocking.edu" TargetMode="External"/><Relationship Id="rId131" Type="http://schemas.openxmlformats.org/officeDocument/2006/relationships/hyperlink" Target="https://bytespeed.com/naecad-collegiate-esports-guide/" TargetMode="External"/><Relationship Id="rId132" Type="http://schemas.openxmlformats.org/officeDocument/2006/relationships/hyperlink" Target="mailto:jmrazeck2@lakelandcc.edu" TargetMode="External"/><Relationship Id="rId133" Type="http://schemas.openxmlformats.org/officeDocument/2006/relationships/hyperlink" Target="https://athletics.lakelandcc.edu/sports/esports/coaches/Jeremiah_Mrazeck" TargetMode="External"/><Relationship Id="rId134" Type="http://schemas.openxmlformats.org/officeDocument/2006/relationships/hyperlink" Target="mailto:esports@lorainccc.edu" TargetMode="External"/><Relationship Id="rId135" Type="http://schemas.openxmlformats.org/officeDocument/2006/relationships/hyperlink" Target="https://loraincounty.prestosports.com/sports/esports/coaches/robert_mclelland" TargetMode="External"/><Relationship Id="rId136" Type="http://schemas.openxmlformats.org/officeDocument/2006/relationships/hyperlink" Target="mailto:sfloyd@northweststate.edu" TargetMode="External"/><Relationship Id="rId137" Type="http://schemas.openxmlformats.org/officeDocument/2006/relationships/hyperlink" Target="https://en.wikipedia.org/wiki/National_Association_of_Collegiate_Esports" TargetMode="External"/><Relationship Id="rId138" Type="http://schemas.openxmlformats.org/officeDocument/2006/relationships/hyperlink" Target="mailto:info@sscc.edu" TargetMode="External"/><Relationship Id="rId139" Type="http://schemas.openxmlformats.org/officeDocument/2006/relationships/hyperlink" Target="https://en.wikipedia.org/wiki/National_Association_of_Collegiate_Esports" TargetMode="External"/><Relationship Id="rId140" Type="http://schemas.openxmlformats.org/officeDocument/2006/relationships/hyperlink" Target="https://productiverecruit.com/athletic-scholarships/esports/iowa/iowa-central-community-college" TargetMode="External"/><Relationship Id="rId141" Type="http://schemas.openxmlformats.org/officeDocument/2006/relationships/hyperlink" Target="mailto:ralexander@mscok.edu" TargetMode="External"/><Relationship Id="rId142" Type="http://schemas.openxmlformats.org/officeDocument/2006/relationships/hyperlink" Target="https://bytespeed.com/naecad-collegiate-esports-guide/" TargetMode="External"/><Relationship Id="rId143" Type="http://schemas.openxmlformats.org/officeDocument/2006/relationships/hyperlink" Target="mailto:s.morris@sscok.edu" TargetMode="External"/><Relationship Id="rId144" Type="http://schemas.openxmlformats.org/officeDocument/2006/relationships/hyperlink" Target="https://sscok.edu/_assets/pdfs/sponsored-Grant-programs/NASNTI/newsletters/2025/December%20NASNTI%20Newsletter%202025.pdf" TargetMode="External"/><Relationship Id="rId145" Type="http://schemas.openxmlformats.org/officeDocument/2006/relationships/hyperlink" Target="https://www.animationcareerreview.com/articles/list-us-colleges-varsity-esports-programs" TargetMode="External"/><Relationship Id="rId146" Type="http://schemas.openxmlformats.org/officeDocument/2006/relationships/hyperlink" Target="https://umpqua.prestosports.com/sports/esports/2020-21/releases/20200819orrcxa" TargetMode="External"/><Relationship Id="rId147" Type="http://schemas.openxmlformats.org/officeDocument/2006/relationships/hyperlink" Target="mailto:jjohnstone@ccac.edu" TargetMode="External"/><Relationship Id="rId148" Type="http://schemas.openxmlformats.org/officeDocument/2006/relationships/hyperlink" Target="https://www.ccac.edu/campus-life/esports.php" TargetMode="External"/><Relationship Id="rId149" Type="http://schemas.openxmlformats.org/officeDocument/2006/relationships/hyperlink" Target="https://harrisburg.prestosports.com/sports/esports/coaches/Head_Coach_eSports" TargetMode="External"/><Relationship Id="rId150" Type="http://schemas.openxmlformats.org/officeDocument/2006/relationships/hyperlink" Target="mailto:esports@lackawanna.edu" TargetMode="External"/><Relationship Id="rId151" Type="http://schemas.openxmlformats.org/officeDocument/2006/relationships/hyperlink" Target="https://bytespeed.com/naecad-collegiate-esports-guide/" TargetMode="External"/><Relationship Id="rId152" Type="http://schemas.openxmlformats.org/officeDocument/2006/relationships/hyperlink" Target="mailto:admissions@luzerne.edu" TargetMode="External"/><Relationship Id="rId153" Type="http://schemas.openxmlformats.org/officeDocument/2006/relationships/hyperlink" Target="https://www.luzerne.edu/studentlife/athletics/sport.jsp?id=10" TargetMode="External"/><Relationship Id="rId154" Type="http://schemas.openxmlformats.org/officeDocument/2006/relationships/hyperlink" Target="https://productiverecruit.com/athletic-scholarships/esports/pennsylvania/montgomery-county-community-college" TargetMode="External"/><Relationship Id="rId155" Type="http://schemas.openxmlformats.org/officeDocument/2006/relationships/hyperlink" Target="mailto:jmaul@pennhighlands.edu" TargetMode="External"/><Relationship Id="rId156" Type="http://schemas.openxmlformats.org/officeDocument/2006/relationships/hyperlink" Target="https://www.pennhighlands.edu/?p=29965" TargetMode="External"/><Relationship Id="rId157" Type="http://schemas.openxmlformats.org/officeDocument/2006/relationships/hyperlink" Target="https://careers.insidehighered.com/job/3556889/part-time-e-sports-head-coach/" TargetMode="External"/><Relationship Id="rId158" Type="http://schemas.openxmlformats.org/officeDocument/2006/relationships/hyperlink" Target="mailto:esports@actx.edu" TargetMode="External"/><Relationship Id="rId159" Type="http://schemas.openxmlformats.org/officeDocument/2006/relationships/hyperlink" Target="https://bytespeed.com/naecad-collegiate-esports-guide/" TargetMode="External"/><Relationship Id="rId160" Type="http://schemas.openxmlformats.org/officeDocument/2006/relationships/hyperlink" Target="mailto:aaron.kapiko@blinn.edu" TargetMode="External"/><Relationship Id="rId161" Type="http://schemas.openxmlformats.org/officeDocument/2006/relationships/hyperlink" Target="https://www.blinn.edu/news/2026/08/esports-tryouts.html" TargetMode="External"/><Relationship Id="rId162" Type="http://schemas.openxmlformats.org/officeDocument/2006/relationships/hyperlink" Target="https://www.njcaaesports.org/" TargetMode="External"/><Relationship Id="rId163" Type="http://schemas.openxmlformats.org/officeDocument/2006/relationships/hyperlink" Target="https://www.bestcolleges.com/news/love-esports-here-are-all-the-colleges-with-esports-teams/" TargetMode="External"/><Relationship Id="rId164" Type="http://schemas.openxmlformats.org/officeDocument/2006/relationships/hyperlink" Target="mailto:smccort@dallascollege.edu" TargetMode="External"/><Relationship Id="rId165" Type="http://schemas.openxmlformats.org/officeDocument/2006/relationships/hyperlink" Target="https://brookhaven.prestosports.com/sports/esports/coaches/Sky_McCort" TargetMode="External"/><Relationship Id="rId166" Type="http://schemas.openxmlformats.org/officeDocument/2006/relationships/hyperlink" Target="https://productiverecruit.com/athletic-scholarships/esports/kansas/highland-community-college" TargetMode="External"/><Relationship Id="rId167" Type="http://schemas.openxmlformats.org/officeDocument/2006/relationships/hyperlink" Target="mailto:welcome@midland.edu" TargetMode="External"/><Relationship Id="rId168" Type="http://schemas.openxmlformats.org/officeDocument/2006/relationships/hyperlink" Target="https://www.govtech.com/education/higher-ed/midland-college-joins-njcaa-esports-league" TargetMode="External"/><Relationship Id="rId169" Type="http://schemas.openxmlformats.org/officeDocument/2006/relationships/hyperlink" Target="mailto:James.jones@tvcc.edu" TargetMode="External"/><Relationship Id="rId170" Type="http://schemas.openxmlformats.org/officeDocument/2006/relationships/hyperlink" Target="https://bytespeed.com/naecad-collegiate-esports-guide/" TargetMode="External"/><Relationship Id="rId171" Type="http://schemas.openxmlformats.org/officeDocument/2006/relationships/hyperlink" Target="https://www.globeslcc.com/2022/11/29/bruin-athletics-new-esports-director-jeffrey-sosa" TargetMode="External"/><Relationship Id="rId172" Type="http://schemas.openxmlformats.org/officeDocument/2006/relationships/hyperlink" Target="mailto:snowcollege@snow.edu" TargetMode="External"/><Relationship Id="rId173" Type="http://schemas.openxmlformats.org/officeDocument/2006/relationships/hyperlink" Target="https://stats.njcaa.org/general/2020-21/releases/20200831nzu7ll" TargetMode="External"/><Relationship Id="rId174" Type="http://schemas.openxmlformats.org/officeDocument/2006/relationships/hyperlink" Target="https://waketech.prestosports.com/sports/esports/2023-24/schedule" TargetMode="External"/><Relationship Id="rId175" Type="http://schemas.openxmlformats.org/officeDocument/2006/relationships/hyperlink" Target="mailto:cpulliam@dcc.vccs.edu" TargetMode="External"/><Relationship Id="rId176" Type="http://schemas.openxmlformats.org/officeDocument/2006/relationships/hyperlink" Target="https://loraincounty.prestosports.com/sports/esports/2024-25/releases/20241003wcd0se" TargetMode="External"/><Relationship Id="rId177" Type="http://schemas.openxmlformats.org/officeDocument/2006/relationships/hyperlink" Target="https://northernvirginiamag.com/?p=503895" TargetMode="External"/><Relationship Id="rId178" Type="http://schemas.openxmlformats.org/officeDocument/2006/relationships/hyperlink" Target="https://productiverecruit.com/athletic-scholarships/esports/kansas/highland-community-college" TargetMode="External"/><Relationship Id="rId179" Type="http://schemas.openxmlformats.org/officeDocument/2006/relationships/hyperlink" Target="https://jobs.vccs.edu/postings/101724" TargetMode="External"/><Relationship Id="rId180" Type="http://schemas.openxmlformats.org/officeDocument/2006/relationships/hyperlink" Target="mailto:info@tcc.edu" TargetMode="External"/><Relationship Id="rId181" Type="http://schemas.openxmlformats.org/officeDocument/2006/relationships/hyperlink" Target="https://jobboard.simplifaster.com/?p=10305" TargetMode="External"/><Relationship Id="rId182" Type="http://schemas.openxmlformats.org/officeDocument/2006/relationships/hyperlink" Target="mailto:admissionsCC@centralia.edu" TargetMode="External"/><Relationship Id="rId183" Type="http://schemas.openxmlformats.org/officeDocument/2006/relationships/hyperlink" Target="https://cbchawks.com/news/2023/7/27/general-cbc-begins-e-sports-era-with-first-signing-ceremony.aspx" TargetMode="External"/><Relationship Id="rId184" Type="http://schemas.openxmlformats.org/officeDocument/2006/relationships/hyperlink" Target="https://cbchawks.com/sports/e-sports/roster" TargetMode="External"/><Relationship Id="rId185" Type="http://schemas.openxmlformats.org/officeDocument/2006/relationships/hyperlink" Target="mailto:admissions@pencol.edu" TargetMode="External"/><Relationship Id="rId186" Type="http://schemas.openxmlformats.org/officeDocument/2006/relationships/hyperlink" Target="https://cbchawks.com/news/2023/7/27/general-cbc-begins-e-sports-era-with-first-signing-ceremony.aspx" TargetMode="External"/><Relationship Id="rId187" Type="http://schemas.openxmlformats.org/officeDocument/2006/relationships/hyperlink" Target="mailto:tanya.jaeger@gotoltc.edu" TargetMode="External"/><Relationship Id="rId188" Type="http://schemas.openxmlformats.org/officeDocument/2006/relationships/hyperlink" Target="https://en.wikipedia.org/wiki/National_Association_of_Collegiate_Esports" TargetMode="External"/><Relationship Id="rId189" Type="http://schemas.openxmlformats.org/officeDocument/2006/relationships/hyperlink" Target="mailto:enrollmentservices@madisoncollege.edu" TargetMode="External"/><Relationship Id="rId190" Type="http://schemas.openxmlformats.org/officeDocument/2006/relationships/hyperlink" Target="https://madisoncollege.edu/about/news/esports-smashing-success-madison-college" TargetMode="External"/><Relationship Id="rId191" Type="http://schemas.openxmlformats.org/officeDocument/2006/relationships/hyperlink" Target="mailto:go2psc@mail.wvu.edu" TargetMode="External"/><Relationship Id="rId192" Type="http://schemas.openxmlformats.org/officeDocument/2006/relationships/hyperlink" Target="https://en.wikipedia.org/wiki/National_Association_of_Collegiate_Esports" TargetMode="External"/><Relationship Id="rId193" Type="http://schemas.openxmlformats.org/officeDocument/2006/relationships/hyperlink" Target="https://www.lccc.wy.edu/news/2023-8-2_esports_coach.aspx" TargetMode="External"/><Relationship Id="rId194" Type="http://schemas.openxmlformats.org/officeDocument/2006/relationships/hyperlink" Target="mailto:christopher.dugger@nwc.edu" TargetMode="External"/><Relationship Id="rId195" Type="http://schemas.openxmlformats.org/officeDocument/2006/relationships/hyperlink" Target="https://nwctrappers.com/sports/esports/coaches/Chris_Dugger" TargetMode="External"/><Relationship Id="rId19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3" min="12" style="0" width="11"/>
    <col collapsed="false" customWidth="true" hidden="false" outlineLevel="0" max="15" min="14" style="0" width="15"/>
    <col collapsed="false" customWidth="true" hidden="false" outlineLevel="0" max="16" min="16" style="0" width="55"/>
    <col collapsed="false" customWidth="true" hidden="false" outlineLevel="0" max="17" min="17" style="0" width="45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3" t="s">
        <v>19</v>
      </c>
      <c r="C2" s="3" t="s">
        <v>20</v>
      </c>
      <c r="D2" s="3"/>
      <c r="E2" s="3" t="s">
        <v>21</v>
      </c>
      <c r="F2" s="3" t="s">
        <v>22</v>
      </c>
      <c r="G2" s="2" t="s">
        <v>23</v>
      </c>
      <c r="H2" s="4" t="s">
        <v>24</v>
      </c>
      <c r="I2" s="3" t="s">
        <v>25</v>
      </c>
      <c r="J2" s="3" t="s">
        <v>26</v>
      </c>
      <c r="K2" s="3"/>
      <c r="L2" s="5" t="b">
        <f aca="false">FALSE()</f>
        <v>0</v>
      </c>
      <c r="M2" s="5" t="b">
        <f aca="false">FALSE()</f>
        <v>0</v>
      </c>
      <c r="N2" s="6"/>
      <c r="O2" s="6"/>
      <c r="P2" s="2"/>
      <c r="Q2" s="4" t="s">
        <v>27</v>
      </c>
      <c r="R2" s="3"/>
    </row>
    <row r="3" customFormat="false" ht="15" hidden="false" customHeight="false" outlineLevel="0" collapsed="false">
      <c r="A3" s="2" t="s">
        <v>28</v>
      </c>
      <c r="B3" s="3" t="s">
        <v>29</v>
      </c>
      <c r="C3" s="3" t="s">
        <v>30</v>
      </c>
      <c r="D3" s="3"/>
      <c r="E3" s="3" t="s">
        <v>31</v>
      </c>
      <c r="F3" s="3" t="s">
        <v>32</v>
      </c>
      <c r="G3" s="2" t="s">
        <v>33</v>
      </c>
      <c r="H3" s="4" t="s">
        <v>34</v>
      </c>
      <c r="I3" s="3" t="s">
        <v>25</v>
      </c>
      <c r="J3" s="3" t="s">
        <v>35</v>
      </c>
      <c r="K3" s="3"/>
      <c r="L3" s="5" t="b">
        <f aca="false">FALSE()</f>
        <v>0</v>
      </c>
      <c r="M3" s="5" t="b">
        <f aca="false">FALSE()</f>
        <v>0</v>
      </c>
      <c r="N3" s="6"/>
      <c r="O3" s="6"/>
      <c r="P3" s="2"/>
      <c r="Q3" s="4" t="s">
        <v>36</v>
      </c>
      <c r="R3" s="3"/>
    </row>
    <row r="4" customFormat="false" ht="15" hidden="false" customHeight="false" outlineLevel="0" collapsed="false">
      <c r="A4" s="2" t="s">
        <v>37</v>
      </c>
      <c r="B4" s="3" t="s">
        <v>38</v>
      </c>
      <c r="C4" s="3" t="s">
        <v>39</v>
      </c>
      <c r="D4" s="3" t="s">
        <v>40</v>
      </c>
      <c r="E4" s="3"/>
      <c r="F4" s="3"/>
      <c r="G4" s="2"/>
      <c r="H4" s="4" t="s">
        <v>41</v>
      </c>
      <c r="I4" s="7" t="s">
        <v>42</v>
      </c>
      <c r="J4" s="3"/>
      <c r="K4" s="3"/>
      <c r="L4" s="5" t="b">
        <f aca="false">FALSE()</f>
        <v>0</v>
      </c>
      <c r="M4" s="5" t="b">
        <f aca="false">FALSE()</f>
        <v>0</v>
      </c>
      <c r="N4" s="6"/>
      <c r="O4" s="6"/>
      <c r="P4" s="2"/>
      <c r="Q4" s="4" t="s">
        <v>43</v>
      </c>
      <c r="R4" s="3"/>
    </row>
    <row r="5" customFormat="false" ht="15" hidden="false" customHeight="false" outlineLevel="0" collapsed="false">
      <c r="A5" s="2" t="s">
        <v>44</v>
      </c>
      <c r="B5" s="3" t="s">
        <v>45</v>
      </c>
      <c r="C5" s="3" t="s">
        <v>46</v>
      </c>
      <c r="D5" s="3"/>
      <c r="E5" s="3" t="s">
        <v>47</v>
      </c>
      <c r="F5" s="3" t="s">
        <v>48</v>
      </c>
      <c r="G5" s="2" t="s">
        <v>49</v>
      </c>
      <c r="H5" s="3"/>
      <c r="I5" s="8" t="s">
        <v>50</v>
      </c>
      <c r="J5" s="3"/>
      <c r="K5" s="3"/>
      <c r="L5" s="5" t="b">
        <f aca="false">FALSE()</f>
        <v>0</v>
      </c>
      <c r="M5" s="5" t="b">
        <f aca="false">FALSE()</f>
        <v>0</v>
      </c>
      <c r="N5" s="6"/>
      <c r="O5" s="6"/>
      <c r="P5" s="2" t="s">
        <v>51</v>
      </c>
      <c r="Q5" s="4" t="s">
        <v>52</v>
      </c>
      <c r="R5" s="3"/>
    </row>
    <row r="6" customFormat="false" ht="15" hidden="false" customHeight="false" outlineLevel="0" collapsed="false">
      <c r="A6" s="2" t="s">
        <v>53</v>
      </c>
      <c r="B6" s="3" t="s">
        <v>54</v>
      </c>
      <c r="C6" s="3" t="s">
        <v>46</v>
      </c>
      <c r="D6" s="3"/>
      <c r="E6" s="3"/>
      <c r="F6" s="3"/>
      <c r="G6" s="2"/>
      <c r="H6" s="3"/>
      <c r="I6" s="8" t="s">
        <v>50</v>
      </c>
      <c r="J6" s="3"/>
      <c r="K6" s="3"/>
      <c r="L6" s="5" t="b">
        <f aca="false">FALSE()</f>
        <v>0</v>
      </c>
      <c r="M6" s="5" t="b">
        <f aca="false">FALSE()</f>
        <v>0</v>
      </c>
      <c r="N6" s="6"/>
      <c r="O6" s="6"/>
      <c r="P6" s="2" t="s">
        <v>55</v>
      </c>
      <c r="Q6" s="4" t="s">
        <v>56</v>
      </c>
      <c r="R6" s="3"/>
    </row>
    <row r="7" customFormat="false" ht="15" hidden="false" customHeight="false" outlineLevel="0" collapsed="false">
      <c r="A7" s="2" t="s">
        <v>57</v>
      </c>
      <c r="B7" s="3" t="s">
        <v>58</v>
      </c>
      <c r="C7" s="3" t="s">
        <v>46</v>
      </c>
      <c r="D7" s="3"/>
      <c r="E7" s="3" t="s">
        <v>59</v>
      </c>
      <c r="F7" s="3" t="s">
        <v>60</v>
      </c>
      <c r="G7" s="2" t="s">
        <v>61</v>
      </c>
      <c r="H7" s="3"/>
      <c r="I7" s="8" t="s">
        <v>50</v>
      </c>
      <c r="J7" s="3"/>
      <c r="K7" s="3"/>
      <c r="L7" s="5" t="b">
        <f aca="false">FALSE()</f>
        <v>0</v>
      </c>
      <c r="M7" s="5" t="b">
        <f aca="false">FALSE()</f>
        <v>0</v>
      </c>
      <c r="N7" s="6"/>
      <c r="O7" s="6"/>
      <c r="P7" s="2" t="s">
        <v>62</v>
      </c>
      <c r="Q7" s="4" t="s">
        <v>52</v>
      </c>
      <c r="R7" s="3"/>
    </row>
    <row r="8" customFormat="false" ht="15" hidden="false" customHeight="false" outlineLevel="0" collapsed="false">
      <c r="A8" s="2" t="s">
        <v>63</v>
      </c>
      <c r="B8" s="3" t="s">
        <v>64</v>
      </c>
      <c r="C8" s="3" t="s">
        <v>46</v>
      </c>
      <c r="D8" s="3"/>
      <c r="E8" s="3" t="s">
        <v>65</v>
      </c>
      <c r="F8" s="3" t="s">
        <v>66</v>
      </c>
      <c r="G8" s="2" t="s">
        <v>23</v>
      </c>
      <c r="H8" s="3"/>
      <c r="I8" s="8" t="s">
        <v>50</v>
      </c>
      <c r="J8" s="3"/>
      <c r="K8" s="3"/>
      <c r="L8" s="5" t="b">
        <f aca="false">FALSE()</f>
        <v>0</v>
      </c>
      <c r="M8" s="5" t="b">
        <f aca="false">FALSE()</f>
        <v>0</v>
      </c>
      <c r="N8" s="6"/>
      <c r="O8" s="6"/>
      <c r="P8" s="2" t="s">
        <v>67</v>
      </c>
      <c r="Q8" s="4" t="s">
        <v>68</v>
      </c>
      <c r="R8" s="3"/>
    </row>
    <row r="9" customFormat="false" ht="15" hidden="false" customHeight="false" outlineLevel="0" collapsed="false">
      <c r="A9" s="2" t="s">
        <v>69</v>
      </c>
      <c r="B9" s="3" t="s">
        <v>70</v>
      </c>
      <c r="C9" s="3" t="s">
        <v>71</v>
      </c>
      <c r="D9" s="3" t="s">
        <v>72</v>
      </c>
      <c r="E9" s="3"/>
      <c r="F9" s="3"/>
      <c r="G9" s="2"/>
      <c r="H9" s="4" t="s">
        <v>73</v>
      </c>
      <c r="I9" s="8" t="s">
        <v>74</v>
      </c>
      <c r="J9" s="3"/>
      <c r="K9" s="3"/>
      <c r="L9" s="5" t="b">
        <f aca="false">FALSE()</f>
        <v>0</v>
      </c>
      <c r="M9" s="5" t="b">
        <f aca="false">FALSE()</f>
        <v>0</v>
      </c>
      <c r="N9" s="6"/>
      <c r="O9" s="6"/>
      <c r="P9" s="2"/>
      <c r="Q9" s="4" t="s">
        <v>75</v>
      </c>
      <c r="R9" s="3"/>
    </row>
    <row r="10" customFormat="false" ht="23.85" hidden="false" customHeight="false" outlineLevel="0" collapsed="false">
      <c r="A10" s="2" t="s">
        <v>76</v>
      </c>
      <c r="B10" s="3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G10" s="2" t="s">
        <v>82</v>
      </c>
      <c r="H10" s="3"/>
      <c r="I10" s="8" t="s">
        <v>50</v>
      </c>
      <c r="J10" s="3" t="s">
        <v>83</v>
      </c>
      <c r="K10" s="3"/>
      <c r="L10" s="5" t="b">
        <f aca="false">FALSE()</f>
        <v>0</v>
      </c>
      <c r="M10" s="5" t="b">
        <f aca="false">FALSE()</f>
        <v>0</v>
      </c>
      <c r="N10" s="6"/>
      <c r="O10" s="6"/>
      <c r="P10" s="2" t="s">
        <v>84</v>
      </c>
      <c r="Q10" s="4" t="s">
        <v>85</v>
      </c>
      <c r="R10" s="3" t="s">
        <v>86</v>
      </c>
    </row>
    <row r="11" customFormat="false" ht="15" hidden="false" customHeight="false" outlineLevel="0" collapsed="false">
      <c r="A11" s="2" t="s">
        <v>87</v>
      </c>
      <c r="B11" s="3" t="s">
        <v>88</v>
      </c>
      <c r="C11" s="3" t="s">
        <v>89</v>
      </c>
      <c r="D11" s="3" t="s">
        <v>72</v>
      </c>
      <c r="E11" s="3" t="s">
        <v>90</v>
      </c>
      <c r="F11" s="3" t="s">
        <v>91</v>
      </c>
      <c r="G11" s="2" t="s">
        <v>92</v>
      </c>
      <c r="H11" s="4" t="s">
        <v>93</v>
      </c>
      <c r="I11" s="7" t="s">
        <v>42</v>
      </c>
      <c r="J11" s="3" t="s">
        <v>94</v>
      </c>
      <c r="K11" s="3"/>
      <c r="L11" s="5" t="b">
        <f aca="false">FALSE()</f>
        <v>0</v>
      </c>
      <c r="M11" s="5" t="b">
        <f aca="false">FALSE()</f>
        <v>0</v>
      </c>
      <c r="N11" s="6"/>
      <c r="O11" s="6"/>
      <c r="P11" s="2" t="s">
        <v>95</v>
      </c>
      <c r="Q11" s="4" t="s">
        <v>96</v>
      </c>
      <c r="R11" s="3" t="s">
        <v>97</v>
      </c>
    </row>
    <row r="12" customFormat="false" ht="15" hidden="false" customHeight="false" outlineLevel="0" collapsed="false">
      <c r="A12" s="2" t="s">
        <v>98</v>
      </c>
      <c r="B12" s="3" t="s">
        <v>99</v>
      </c>
      <c r="C12" s="3" t="s">
        <v>89</v>
      </c>
      <c r="D12" s="3" t="s">
        <v>72</v>
      </c>
      <c r="E12" s="3" t="s">
        <v>100</v>
      </c>
      <c r="F12" s="3" t="s">
        <v>101</v>
      </c>
      <c r="G12" s="2" t="s">
        <v>102</v>
      </c>
      <c r="H12" s="4" t="s">
        <v>103</v>
      </c>
      <c r="I12" s="3" t="s">
        <v>25</v>
      </c>
      <c r="J12" s="3" t="s">
        <v>104</v>
      </c>
      <c r="K12" s="3"/>
      <c r="L12" s="5" t="b">
        <f aca="false">FALSE()</f>
        <v>0</v>
      </c>
      <c r="M12" s="5" t="b">
        <f aca="false">FALSE()</f>
        <v>0</v>
      </c>
      <c r="N12" s="6"/>
      <c r="O12" s="6"/>
      <c r="P12" s="2"/>
      <c r="Q12" s="4" t="s">
        <v>105</v>
      </c>
      <c r="R12" s="3" t="s">
        <v>106</v>
      </c>
    </row>
    <row r="13" customFormat="false" ht="15" hidden="false" customHeight="false" outlineLevel="0" collapsed="false">
      <c r="A13" s="2" t="s">
        <v>107</v>
      </c>
      <c r="B13" s="3" t="s">
        <v>108</v>
      </c>
      <c r="C13" s="3" t="s">
        <v>89</v>
      </c>
      <c r="D13" s="3" t="s">
        <v>72</v>
      </c>
      <c r="E13" s="3" t="s">
        <v>109</v>
      </c>
      <c r="F13" s="3" t="s">
        <v>110</v>
      </c>
      <c r="G13" s="2" t="s">
        <v>92</v>
      </c>
      <c r="H13" s="4" t="s">
        <v>111</v>
      </c>
      <c r="I13" s="3" t="s">
        <v>25</v>
      </c>
      <c r="J13" s="3"/>
      <c r="K13" s="3"/>
      <c r="L13" s="5" t="b">
        <f aca="false">FALSE()</f>
        <v>0</v>
      </c>
      <c r="M13" s="5" t="b">
        <f aca="false">FALSE()</f>
        <v>0</v>
      </c>
      <c r="N13" s="6"/>
      <c r="O13" s="6"/>
      <c r="P13" s="2" t="s">
        <v>112</v>
      </c>
      <c r="Q13" s="4" t="s">
        <v>113</v>
      </c>
      <c r="R13" s="3" t="s">
        <v>114</v>
      </c>
    </row>
    <row r="14" customFormat="false" ht="23.85" hidden="false" customHeight="false" outlineLevel="0" collapsed="false">
      <c r="A14" s="2" t="s">
        <v>115</v>
      </c>
      <c r="B14" s="3" t="s">
        <v>116</v>
      </c>
      <c r="C14" s="3" t="s">
        <v>89</v>
      </c>
      <c r="D14" s="3" t="s">
        <v>72</v>
      </c>
      <c r="E14" s="3" t="s">
        <v>117</v>
      </c>
      <c r="F14" s="3" t="s">
        <v>118</v>
      </c>
      <c r="G14" s="2" t="s">
        <v>92</v>
      </c>
      <c r="H14" s="4" t="s">
        <v>119</v>
      </c>
      <c r="I14" s="8" t="s">
        <v>74</v>
      </c>
      <c r="J14" s="3" t="s">
        <v>120</v>
      </c>
      <c r="K14" s="3"/>
      <c r="L14" s="5" t="b">
        <f aca="false">FALSE()</f>
        <v>0</v>
      </c>
      <c r="M14" s="5" t="b">
        <f aca="false">FALSE()</f>
        <v>0</v>
      </c>
      <c r="N14" s="6"/>
      <c r="O14" s="6"/>
      <c r="P14" s="2" t="s">
        <v>121</v>
      </c>
      <c r="Q14" s="4" t="s">
        <v>122</v>
      </c>
      <c r="R14" s="3" t="s">
        <v>86</v>
      </c>
    </row>
    <row r="15" customFormat="false" ht="15" hidden="false" customHeight="false" outlineLevel="0" collapsed="false">
      <c r="A15" s="2" t="s">
        <v>123</v>
      </c>
      <c r="B15" s="3" t="s">
        <v>124</v>
      </c>
      <c r="C15" s="3" t="s">
        <v>89</v>
      </c>
      <c r="D15" s="3" t="s">
        <v>72</v>
      </c>
      <c r="E15" s="3" t="s">
        <v>125</v>
      </c>
      <c r="F15" s="3" t="s">
        <v>126</v>
      </c>
      <c r="G15" s="2" t="s">
        <v>127</v>
      </c>
      <c r="H15" s="4" t="s">
        <v>128</v>
      </c>
      <c r="I15" s="3" t="s">
        <v>25</v>
      </c>
      <c r="J15" s="3" t="s">
        <v>129</v>
      </c>
      <c r="K15" s="3"/>
      <c r="L15" s="5" t="b">
        <f aca="false">FALSE()</f>
        <v>0</v>
      </c>
      <c r="M15" s="5" t="b">
        <f aca="false">FALSE()</f>
        <v>0</v>
      </c>
      <c r="N15" s="6"/>
      <c r="O15" s="6"/>
      <c r="P15" s="2" t="s">
        <v>130</v>
      </c>
      <c r="Q15" s="4" t="s">
        <v>131</v>
      </c>
      <c r="R15" s="3" t="s">
        <v>132</v>
      </c>
    </row>
    <row r="16" customFormat="false" ht="23.85" hidden="false" customHeight="false" outlineLevel="0" collapsed="false">
      <c r="A16" s="2" t="s">
        <v>133</v>
      </c>
      <c r="B16" s="3" t="s">
        <v>134</v>
      </c>
      <c r="C16" s="3" t="s">
        <v>135</v>
      </c>
      <c r="D16" s="3" t="s">
        <v>72</v>
      </c>
      <c r="E16" s="3" t="s">
        <v>136</v>
      </c>
      <c r="F16" s="3" t="s">
        <v>137</v>
      </c>
      <c r="G16" s="2" t="s">
        <v>138</v>
      </c>
      <c r="H16" s="3"/>
      <c r="I16" s="8" t="s">
        <v>50</v>
      </c>
      <c r="J16" s="3"/>
      <c r="K16" s="3"/>
      <c r="L16" s="5" t="b">
        <f aca="false">FALSE()</f>
        <v>0</v>
      </c>
      <c r="M16" s="5" t="b">
        <f aca="false">FALSE()</f>
        <v>0</v>
      </c>
      <c r="N16" s="6"/>
      <c r="O16" s="6"/>
      <c r="P16" s="2" t="s">
        <v>139</v>
      </c>
      <c r="Q16" s="4" t="s">
        <v>140</v>
      </c>
      <c r="R16" s="3" t="s">
        <v>132</v>
      </c>
    </row>
    <row r="17" customFormat="false" ht="23.85" hidden="false" customHeight="false" outlineLevel="0" collapsed="false">
      <c r="A17" s="2" t="s">
        <v>141</v>
      </c>
      <c r="B17" s="3" t="s">
        <v>142</v>
      </c>
      <c r="C17" s="3" t="s">
        <v>135</v>
      </c>
      <c r="D17" s="3" t="s">
        <v>72</v>
      </c>
      <c r="E17" s="3" t="s">
        <v>143</v>
      </c>
      <c r="F17" s="3" t="s">
        <v>144</v>
      </c>
      <c r="G17" s="2" t="s">
        <v>92</v>
      </c>
      <c r="H17" s="4" t="s">
        <v>145</v>
      </c>
      <c r="I17" s="8" t="s">
        <v>146</v>
      </c>
      <c r="J17" s="3" t="s">
        <v>147</v>
      </c>
      <c r="K17" s="3"/>
      <c r="L17" s="5" t="b">
        <f aca="false">FALSE()</f>
        <v>0</v>
      </c>
      <c r="M17" s="5" t="b">
        <f aca="false">FALSE()</f>
        <v>0</v>
      </c>
      <c r="N17" s="6"/>
      <c r="O17" s="6"/>
      <c r="P17" s="2" t="s">
        <v>148</v>
      </c>
      <c r="Q17" s="4" t="s">
        <v>149</v>
      </c>
      <c r="R17" s="3" t="s">
        <v>132</v>
      </c>
    </row>
    <row r="18" customFormat="false" ht="15" hidden="false" customHeight="false" outlineLevel="0" collapsed="false">
      <c r="A18" s="2" t="s">
        <v>150</v>
      </c>
      <c r="B18" s="3" t="s">
        <v>151</v>
      </c>
      <c r="C18" s="3" t="s">
        <v>135</v>
      </c>
      <c r="D18" s="3" t="s">
        <v>72</v>
      </c>
      <c r="E18" s="3"/>
      <c r="F18" s="3"/>
      <c r="G18" s="2"/>
      <c r="H18" s="4" t="s">
        <v>152</v>
      </c>
      <c r="I18" s="7" t="s">
        <v>42</v>
      </c>
      <c r="J18" s="3"/>
      <c r="K18" s="3"/>
      <c r="L18" s="5" t="b">
        <f aca="false">FALSE()</f>
        <v>0</v>
      </c>
      <c r="M18" s="5" t="b">
        <f aca="false">FALSE()</f>
        <v>0</v>
      </c>
      <c r="N18" s="6"/>
      <c r="O18" s="6"/>
      <c r="P18" s="2"/>
      <c r="Q18" s="4" t="s">
        <v>153</v>
      </c>
      <c r="R18" s="3"/>
    </row>
    <row r="19" customFormat="false" ht="15" hidden="false" customHeight="false" outlineLevel="0" collapsed="false">
      <c r="A19" s="2" t="s">
        <v>154</v>
      </c>
      <c r="B19" s="3" t="s">
        <v>155</v>
      </c>
      <c r="C19" s="3" t="s">
        <v>135</v>
      </c>
      <c r="D19" s="3" t="s">
        <v>72</v>
      </c>
      <c r="E19" s="3"/>
      <c r="F19" s="3"/>
      <c r="G19" s="2"/>
      <c r="H19" s="4" t="s">
        <v>156</v>
      </c>
      <c r="I19" s="7" t="s">
        <v>42</v>
      </c>
      <c r="J19" s="3"/>
      <c r="K19" s="3"/>
      <c r="L19" s="5" t="b">
        <f aca="false">FALSE()</f>
        <v>0</v>
      </c>
      <c r="M19" s="5" t="b">
        <f aca="false">FALSE()</f>
        <v>0</v>
      </c>
      <c r="N19" s="6"/>
      <c r="O19" s="6"/>
      <c r="P19" s="2"/>
      <c r="Q19" s="4" t="s">
        <v>157</v>
      </c>
      <c r="R19" s="3"/>
    </row>
    <row r="20" customFormat="false" ht="23.85" hidden="false" customHeight="false" outlineLevel="0" collapsed="false">
      <c r="A20" s="2" t="s">
        <v>158</v>
      </c>
      <c r="B20" s="3" t="s">
        <v>159</v>
      </c>
      <c r="C20" s="3" t="s">
        <v>135</v>
      </c>
      <c r="D20" s="3" t="s">
        <v>72</v>
      </c>
      <c r="E20" s="3"/>
      <c r="F20" s="3"/>
      <c r="G20" s="2"/>
      <c r="H20" s="3"/>
      <c r="I20" s="8" t="s">
        <v>50</v>
      </c>
      <c r="J20" s="3"/>
      <c r="K20" s="3"/>
      <c r="L20" s="5" t="b">
        <f aca="false">FALSE()</f>
        <v>0</v>
      </c>
      <c r="M20" s="5" t="b">
        <f aca="false">FALSE()</f>
        <v>0</v>
      </c>
      <c r="N20" s="6"/>
      <c r="O20" s="6"/>
      <c r="P20" s="2" t="s">
        <v>160</v>
      </c>
      <c r="Q20" s="4" t="s">
        <v>161</v>
      </c>
      <c r="R20" s="3"/>
    </row>
    <row r="21" customFormat="false" ht="15" hidden="false" customHeight="false" outlineLevel="0" collapsed="false">
      <c r="A21" s="2" t="s">
        <v>162</v>
      </c>
      <c r="B21" s="3" t="s">
        <v>163</v>
      </c>
      <c r="C21" s="3" t="s">
        <v>164</v>
      </c>
      <c r="D21" s="3"/>
      <c r="E21" s="3"/>
      <c r="F21" s="3"/>
      <c r="G21" s="2"/>
      <c r="H21" s="4" t="s">
        <v>165</v>
      </c>
      <c r="I21" s="8" t="s">
        <v>74</v>
      </c>
      <c r="J21" s="3"/>
      <c r="K21" s="3"/>
      <c r="L21" s="5" t="b">
        <f aca="false">FALSE()</f>
        <v>0</v>
      </c>
      <c r="M21" s="5" t="b">
        <f aca="false">FALSE()</f>
        <v>0</v>
      </c>
      <c r="N21" s="6"/>
      <c r="O21" s="6"/>
      <c r="P21" s="2"/>
      <c r="Q21" s="4" t="s">
        <v>153</v>
      </c>
      <c r="R21" s="3"/>
    </row>
    <row r="22" customFormat="false" ht="23.85" hidden="false" customHeight="false" outlineLevel="0" collapsed="false">
      <c r="A22" s="2" t="s">
        <v>166</v>
      </c>
      <c r="B22" s="3" t="s">
        <v>167</v>
      </c>
      <c r="C22" s="3" t="s">
        <v>164</v>
      </c>
      <c r="D22" s="3" t="s">
        <v>40</v>
      </c>
      <c r="E22" s="3"/>
      <c r="F22" s="3"/>
      <c r="G22" s="2" t="s">
        <v>168</v>
      </c>
      <c r="H22" s="4" t="s">
        <v>169</v>
      </c>
      <c r="I22" s="8" t="s">
        <v>74</v>
      </c>
      <c r="J22" s="3" t="s">
        <v>170</v>
      </c>
      <c r="K22" s="3"/>
      <c r="L22" s="5" t="b">
        <f aca="false">FALSE()</f>
        <v>0</v>
      </c>
      <c r="M22" s="5" t="b">
        <f aca="false">FALSE()</f>
        <v>0</v>
      </c>
      <c r="N22" s="6"/>
      <c r="O22" s="6"/>
      <c r="P22" s="2" t="s">
        <v>171</v>
      </c>
      <c r="Q22" s="4" t="s">
        <v>172</v>
      </c>
      <c r="R22" s="3"/>
    </row>
    <row r="23" customFormat="false" ht="15" hidden="false" customHeight="false" outlineLevel="0" collapsed="false">
      <c r="A23" s="2" t="s">
        <v>173</v>
      </c>
      <c r="B23" s="3" t="s">
        <v>174</v>
      </c>
      <c r="C23" s="3" t="s">
        <v>164</v>
      </c>
      <c r="D23" s="3" t="s">
        <v>72</v>
      </c>
      <c r="E23" s="3" t="s">
        <v>175</v>
      </c>
      <c r="F23" s="3" t="s">
        <v>176</v>
      </c>
      <c r="G23" s="2" t="s">
        <v>92</v>
      </c>
      <c r="H23" s="4" t="s">
        <v>177</v>
      </c>
      <c r="I23" s="3" t="s">
        <v>25</v>
      </c>
      <c r="J23" s="3" t="s">
        <v>178</v>
      </c>
      <c r="K23" s="3"/>
      <c r="L23" s="5" t="b">
        <f aca="false">FALSE()</f>
        <v>0</v>
      </c>
      <c r="M23" s="5" t="b">
        <f aca="false">FALSE()</f>
        <v>0</v>
      </c>
      <c r="N23" s="6"/>
      <c r="O23" s="6"/>
      <c r="P23" s="2"/>
      <c r="Q23" s="4" t="s">
        <v>179</v>
      </c>
      <c r="R23" s="3" t="s">
        <v>132</v>
      </c>
    </row>
    <row r="24" customFormat="false" ht="15" hidden="false" customHeight="false" outlineLevel="0" collapsed="false">
      <c r="A24" s="2" t="s">
        <v>180</v>
      </c>
      <c r="B24" s="3" t="s">
        <v>181</v>
      </c>
      <c r="C24" s="3" t="s">
        <v>164</v>
      </c>
      <c r="D24" s="3" t="s">
        <v>72</v>
      </c>
      <c r="E24" s="3" t="s">
        <v>182</v>
      </c>
      <c r="F24" s="3" t="s">
        <v>183</v>
      </c>
      <c r="G24" s="2" t="s">
        <v>33</v>
      </c>
      <c r="H24" s="4" t="s">
        <v>184</v>
      </c>
      <c r="I24" s="3" t="s">
        <v>25</v>
      </c>
      <c r="J24" s="3"/>
      <c r="K24" s="3"/>
      <c r="L24" s="5" t="b">
        <f aca="false">FALSE()</f>
        <v>0</v>
      </c>
      <c r="M24" s="5" t="b">
        <f aca="false">FALSE()</f>
        <v>0</v>
      </c>
      <c r="N24" s="6"/>
      <c r="O24" s="6"/>
      <c r="P24" s="2"/>
      <c r="Q24" s="4" t="s">
        <v>185</v>
      </c>
      <c r="R24" s="3" t="s">
        <v>114</v>
      </c>
    </row>
    <row r="25" customFormat="false" ht="15" hidden="false" customHeight="false" outlineLevel="0" collapsed="false">
      <c r="A25" s="2" t="s">
        <v>186</v>
      </c>
      <c r="B25" s="3" t="s">
        <v>187</v>
      </c>
      <c r="C25" s="3" t="s">
        <v>164</v>
      </c>
      <c r="D25" s="3" t="s">
        <v>188</v>
      </c>
      <c r="E25" s="3"/>
      <c r="F25" s="3"/>
      <c r="G25" s="2"/>
      <c r="H25" s="4" t="s">
        <v>189</v>
      </c>
      <c r="I25" s="8" t="s">
        <v>74</v>
      </c>
      <c r="J25" s="3"/>
      <c r="K25" s="3"/>
      <c r="L25" s="5" t="b">
        <f aca="false">FALSE()</f>
        <v>0</v>
      </c>
      <c r="M25" s="5" t="b">
        <f aca="false">FALSE()</f>
        <v>0</v>
      </c>
      <c r="N25" s="6"/>
      <c r="O25" s="6"/>
      <c r="P25" s="2" t="s">
        <v>190</v>
      </c>
      <c r="Q25" s="4" t="s">
        <v>153</v>
      </c>
      <c r="R25" s="3"/>
    </row>
    <row r="26" customFormat="false" ht="15" hidden="false" customHeight="false" outlineLevel="0" collapsed="false">
      <c r="A26" s="2" t="s">
        <v>191</v>
      </c>
      <c r="B26" s="3" t="s">
        <v>192</v>
      </c>
      <c r="C26" s="3" t="s">
        <v>164</v>
      </c>
      <c r="D26" s="3" t="s">
        <v>40</v>
      </c>
      <c r="E26" s="3"/>
      <c r="F26" s="3"/>
      <c r="G26" s="2"/>
      <c r="H26" s="4" t="s">
        <v>193</v>
      </c>
      <c r="I26" s="7" t="s">
        <v>42</v>
      </c>
      <c r="J26" s="3"/>
      <c r="K26" s="3"/>
      <c r="L26" s="5" t="b">
        <f aca="false">FALSE()</f>
        <v>0</v>
      </c>
      <c r="M26" s="5" t="b">
        <f aca="false">FALSE()</f>
        <v>0</v>
      </c>
      <c r="N26" s="6"/>
      <c r="O26" s="6"/>
      <c r="P26" s="2"/>
      <c r="Q26" s="4" t="s">
        <v>43</v>
      </c>
      <c r="R26" s="3"/>
    </row>
    <row r="27" customFormat="false" ht="15" hidden="false" customHeight="false" outlineLevel="0" collapsed="false">
      <c r="A27" s="2" t="s">
        <v>194</v>
      </c>
      <c r="B27" s="3" t="s">
        <v>195</v>
      </c>
      <c r="C27" s="3" t="s">
        <v>164</v>
      </c>
      <c r="D27" s="3" t="s">
        <v>188</v>
      </c>
      <c r="E27" s="3" t="s">
        <v>196</v>
      </c>
      <c r="F27" s="3" t="s">
        <v>197</v>
      </c>
      <c r="G27" s="2" t="s">
        <v>92</v>
      </c>
      <c r="H27" s="4" t="s">
        <v>198</v>
      </c>
      <c r="I27" s="3" t="s">
        <v>25</v>
      </c>
      <c r="J27" s="3" t="s">
        <v>199</v>
      </c>
      <c r="K27" s="3"/>
      <c r="L27" s="5" t="b">
        <f aca="false">FALSE()</f>
        <v>0</v>
      </c>
      <c r="M27" s="5" t="b">
        <f aca="false">FALSE()</f>
        <v>0</v>
      </c>
      <c r="N27" s="6"/>
      <c r="O27" s="6"/>
      <c r="P27" s="2"/>
      <c r="Q27" s="4" t="s">
        <v>131</v>
      </c>
      <c r="R27" s="3" t="s">
        <v>132</v>
      </c>
    </row>
    <row r="28" customFormat="false" ht="15" hidden="false" customHeight="false" outlineLevel="0" collapsed="false">
      <c r="A28" s="2" t="s">
        <v>200</v>
      </c>
      <c r="B28" s="3" t="s">
        <v>201</v>
      </c>
      <c r="C28" s="3" t="s">
        <v>164</v>
      </c>
      <c r="D28" s="3" t="s">
        <v>72</v>
      </c>
      <c r="E28" s="3" t="s">
        <v>202</v>
      </c>
      <c r="F28" s="3" t="s">
        <v>203</v>
      </c>
      <c r="G28" s="2" t="s">
        <v>92</v>
      </c>
      <c r="H28" s="4" t="s">
        <v>204</v>
      </c>
      <c r="I28" s="3" t="s">
        <v>25</v>
      </c>
      <c r="J28" s="3"/>
      <c r="K28" s="3"/>
      <c r="L28" s="5" t="b">
        <f aca="false">FALSE()</f>
        <v>0</v>
      </c>
      <c r="M28" s="5" t="b">
        <f aca="false">FALSE()</f>
        <v>0</v>
      </c>
      <c r="N28" s="6"/>
      <c r="O28" s="6"/>
      <c r="P28" s="2" t="s">
        <v>205</v>
      </c>
      <c r="Q28" s="4" t="s">
        <v>206</v>
      </c>
      <c r="R28" s="3" t="s">
        <v>132</v>
      </c>
    </row>
    <row r="29" customFormat="false" ht="15" hidden="false" customHeight="false" outlineLevel="0" collapsed="false">
      <c r="A29" s="2" t="s">
        <v>207</v>
      </c>
      <c r="B29" s="3" t="s">
        <v>208</v>
      </c>
      <c r="C29" s="3" t="s">
        <v>209</v>
      </c>
      <c r="D29" s="3"/>
      <c r="E29" s="3"/>
      <c r="F29" s="3"/>
      <c r="G29" s="2"/>
      <c r="H29" s="4" t="s">
        <v>210</v>
      </c>
      <c r="I29" s="8" t="s">
        <v>74</v>
      </c>
      <c r="J29" s="3"/>
      <c r="K29" s="3"/>
      <c r="L29" s="5" t="b">
        <f aca="false">FALSE()</f>
        <v>0</v>
      </c>
      <c r="M29" s="5" t="b">
        <f aca="false">FALSE()</f>
        <v>0</v>
      </c>
      <c r="N29" s="6"/>
      <c r="O29" s="6"/>
      <c r="P29" s="2"/>
      <c r="Q29" s="4" t="s">
        <v>56</v>
      </c>
      <c r="R29" s="3"/>
    </row>
    <row r="30" customFormat="false" ht="15" hidden="false" customHeight="false" outlineLevel="0" collapsed="false">
      <c r="A30" s="2" t="s">
        <v>211</v>
      </c>
      <c r="B30" s="3" t="s">
        <v>212</v>
      </c>
      <c r="C30" s="3" t="s">
        <v>209</v>
      </c>
      <c r="D30" s="3"/>
      <c r="E30" s="3"/>
      <c r="F30" s="3"/>
      <c r="G30" s="2"/>
      <c r="H30" s="4" t="s">
        <v>213</v>
      </c>
      <c r="I30" s="8" t="s">
        <v>74</v>
      </c>
      <c r="J30" s="3"/>
      <c r="K30" s="3"/>
      <c r="L30" s="5" t="b">
        <f aca="false">FALSE()</f>
        <v>0</v>
      </c>
      <c r="M30" s="5" t="b">
        <f aca="false">FALSE()</f>
        <v>0</v>
      </c>
      <c r="N30" s="6"/>
      <c r="O30" s="6"/>
      <c r="P30" s="2"/>
      <c r="Q30" s="4" t="s">
        <v>214</v>
      </c>
      <c r="R30" s="3"/>
    </row>
    <row r="31" customFormat="false" ht="15" hidden="false" customHeight="false" outlineLevel="0" collapsed="false">
      <c r="A31" s="2" t="s">
        <v>215</v>
      </c>
      <c r="B31" s="3" t="s">
        <v>216</v>
      </c>
      <c r="C31" s="3" t="s">
        <v>217</v>
      </c>
      <c r="D31" s="3"/>
      <c r="E31" s="3" t="s">
        <v>218</v>
      </c>
      <c r="F31" s="3" t="s">
        <v>219</v>
      </c>
      <c r="G31" s="2" t="s">
        <v>92</v>
      </c>
      <c r="H31" s="4" t="s">
        <v>220</v>
      </c>
      <c r="I31" s="3" t="s">
        <v>25</v>
      </c>
      <c r="J31" s="3" t="s">
        <v>221</v>
      </c>
      <c r="K31" s="3"/>
      <c r="L31" s="5" t="b">
        <f aca="false">FALSE()</f>
        <v>0</v>
      </c>
      <c r="M31" s="5" t="b">
        <f aca="false">FALSE()</f>
        <v>0</v>
      </c>
      <c r="N31" s="6"/>
      <c r="O31" s="6"/>
      <c r="P31" s="2"/>
      <c r="Q31" s="4" t="s">
        <v>222</v>
      </c>
      <c r="R31" s="3"/>
    </row>
    <row r="32" customFormat="false" ht="15" hidden="false" customHeight="false" outlineLevel="0" collapsed="false">
      <c r="A32" s="2" t="s">
        <v>223</v>
      </c>
      <c r="B32" s="3" t="s">
        <v>224</v>
      </c>
      <c r="C32" s="3" t="s">
        <v>225</v>
      </c>
      <c r="D32" s="3"/>
      <c r="E32" s="3"/>
      <c r="F32" s="3"/>
      <c r="G32" s="2"/>
      <c r="H32" s="3"/>
      <c r="I32" s="8" t="s">
        <v>50</v>
      </c>
      <c r="J32" s="3"/>
      <c r="K32" s="3"/>
      <c r="L32" s="5" t="b">
        <f aca="false">FALSE()</f>
        <v>0</v>
      </c>
      <c r="M32" s="5" t="b">
        <f aca="false">FALSE()</f>
        <v>0</v>
      </c>
      <c r="N32" s="6"/>
      <c r="O32" s="6"/>
      <c r="P32" s="2" t="s">
        <v>226</v>
      </c>
      <c r="Q32" s="4" t="s">
        <v>227</v>
      </c>
      <c r="R32" s="3"/>
    </row>
    <row r="33" customFormat="false" ht="15" hidden="false" customHeight="false" outlineLevel="0" collapsed="false">
      <c r="A33" s="2" t="s">
        <v>228</v>
      </c>
      <c r="B33" s="3" t="s">
        <v>229</v>
      </c>
      <c r="C33" s="3" t="s">
        <v>225</v>
      </c>
      <c r="D33" s="3" t="s">
        <v>230</v>
      </c>
      <c r="E33" s="3" t="s">
        <v>231</v>
      </c>
      <c r="F33" s="3" t="s">
        <v>232</v>
      </c>
      <c r="G33" s="2" t="s">
        <v>33</v>
      </c>
      <c r="H33" s="4" t="s">
        <v>233</v>
      </c>
      <c r="I33" s="3" t="s">
        <v>25</v>
      </c>
      <c r="J33" s="3" t="s">
        <v>234</v>
      </c>
      <c r="K33" s="3"/>
      <c r="L33" s="5" t="b">
        <f aca="false">FALSE()</f>
        <v>0</v>
      </c>
      <c r="M33" s="5" t="b">
        <f aca="false">FALSE()</f>
        <v>0</v>
      </c>
      <c r="N33" s="6"/>
      <c r="O33" s="6"/>
      <c r="P33" s="2" t="s">
        <v>235</v>
      </c>
      <c r="Q33" s="4" t="s">
        <v>236</v>
      </c>
      <c r="R33" s="3" t="s">
        <v>86</v>
      </c>
    </row>
    <row r="34" customFormat="false" ht="15" hidden="false" customHeight="false" outlineLevel="0" collapsed="false">
      <c r="A34" s="2" t="s">
        <v>237</v>
      </c>
      <c r="B34" s="3" t="s">
        <v>238</v>
      </c>
      <c r="C34" s="3" t="s">
        <v>239</v>
      </c>
      <c r="D34" s="3" t="s">
        <v>72</v>
      </c>
      <c r="E34" s="3"/>
      <c r="F34" s="3"/>
      <c r="G34" s="2"/>
      <c r="H34" s="4" t="s">
        <v>240</v>
      </c>
      <c r="I34" s="8" t="s">
        <v>74</v>
      </c>
      <c r="J34" s="3"/>
      <c r="K34" s="3"/>
      <c r="L34" s="5" t="b">
        <f aca="false">FALSE()</f>
        <v>0</v>
      </c>
      <c r="M34" s="5" t="b">
        <f aca="false">FALSE()</f>
        <v>0</v>
      </c>
      <c r="N34" s="6"/>
      <c r="O34" s="6"/>
      <c r="P34" s="2"/>
      <c r="Q34" s="4" t="s">
        <v>241</v>
      </c>
      <c r="R34" s="3"/>
    </row>
    <row r="35" customFormat="false" ht="15" hidden="false" customHeight="false" outlineLevel="0" collapsed="false">
      <c r="A35" s="2" t="s">
        <v>242</v>
      </c>
      <c r="B35" s="3" t="s">
        <v>243</v>
      </c>
      <c r="C35" s="3" t="s">
        <v>239</v>
      </c>
      <c r="D35" s="3"/>
      <c r="E35" s="3"/>
      <c r="F35" s="3"/>
      <c r="G35" s="2"/>
      <c r="H35" s="4" t="s">
        <v>244</v>
      </c>
      <c r="I35" s="8" t="s">
        <v>74</v>
      </c>
      <c r="J35" s="3"/>
      <c r="K35" s="3"/>
      <c r="L35" s="5" t="b">
        <f aca="false">FALSE()</f>
        <v>0</v>
      </c>
      <c r="M35" s="5" t="b">
        <f aca="false">FALSE()</f>
        <v>0</v>
      </c>
      <c r="N35" s="6"/>
      <c r="O35" s="6"/>
      <c r="P35" s="2"/>
      <c r="Q35" s="4" t="s">
        <v>153</v>
      </c>
      <c r="R35" s="3"/>
    </row>
    <row r="36" customFormat="false" ht="23.85" hidden="false" customHeight="false" outlineLevel="0" collapsed="false">
      <c r="A36" s="2" t="s">
        <v>245</v>
      </c>
      <c r="B36" s="3" t="s">
        <v>246</v>
      </c>
      <c r="C36" s="3" t="s">
        <v>239</v>
      </c>
      <c r="D36" s="3" t="s">
        <v>72</v>
      </c>
      <c r="E36" s="3" t="s">
        <v>247</v>
      </c>
      <c r="F36" s="3" t="s">
        <v>248</v>
      </c>
      <c r="G36" s="2" t="s">
        <v>249</v>
      </c>
      <c r="H36" s="4" t="s">
        <v>250</v>
      </c>
      <c r="I36" s="7" t="s">
        <v>42</v>
      </c>
      <c r="J36" s="3"/>
      <c r="K36" s="3"/>
      <c r="L36" s="5" t="b">
        <f aca="false">FALSE()</f>
        <v>0</v>
      </c>
      <c r="M36" s="5" t="b">
        <f aca="false">FALSE()</f>
        <v>0</v>
      </c>
      <c r="N36" s="6"/>
      <c r="O36" s="6"/>
      <c r="P36" s="2" t="s">
        <v>251</v>
      </c>
      <c r="Q36" s="4" t="s">
        <v>252</v>
      </c>
      <c r="R36" s="3" t="s">
        <v>106</v>
      </c>
    </row>
    <row r="37" customFormat="false" ht="15" hidden="false" customHeight="false" outlineLevel="0" collapsed="false">
      <c r="A37" s="2" t="s">
        <v>253</v>
      </c>
      <c r="B37" s="3" t="s">
        <v>254</v>
      </c>
      <c r="C37" s="3" t="s">
        <v>239</v>
      </c>
      <c r="D37" s="3" t="s">
        <v>72</v>
      </c>
      <c r="E37" s="3"/>
      <c r="F37" s="3"/>
      <c r="G37" s="2"/>
      <c r="H37" s="4" t="s">
        <v>255</v>
      </c>
      <c r="I37" s="8" t="s">
        <v>74</v>
      </c>
      <c r="J37" s="3"/>
      <c r="K37" s="3"/>
      <c r="L37" s="5" t="b">
        <f aca="false">FALSE()</f>
        <v>0</v>
      </c>
      <c r="M37" s="5" t="b">
        <f aca="false">FALSE()</f>
        <v>0</v>
      </c>
      <c r="N37" s="6"/>
      <c r="O37" s="6"/>
      <c r="P37" s="2"/>
      <c r="Q37" s="4" t="s">
        <v>256</v>
      </c>
      <c r="R37" s="3"/>
    </row>
    <row r="38" customFormat="false" ht="15" hidden="false" customHeight="false" outlineLevel="0" collapsed="false">
      <c r="A38" s="2" t="s">
        <v>257</v>
      </c>
      <c r="B38" s="3" t="s">
        <v>258</v>
      </c>
      <c r="C38" s="3" t="s">
        <v>239</v>
      </c>
      <c r="D38" s="3" t="s">
        <v>72</v>
      </c>
      <c r="E38" s="3"/>
      <c r="F38" s="3"/>
      <c r="G38" s="2"/>
      <c r="H38" s="4" t="s">
        <v>259</v>
      </c>
      <c r="I38" s="8" t="s">
        <v>74</v>
      </c>
      <c r="J38" s="3"/>
      <c r="K38" s="3"/>
      <c r="L38" s="5" t="b">
        <f aca="false">FALSE()</f>
        <v>0</v>
      </c>
      <c r="M38" s="5" t="b">
        <f aca="false">FALSE()</f>
        <v>0</v>
      </c>
      <c r="N38" s="6"/>
      <c r="O38" s="6"/>
      <c r="P38" s="2"/>
      <c r="Q38" s="4" t="s">
        <v>56</v>
      </c>
      <c r="R38" s="3"/>
    </row>
    <row r="39" customFormat="false" ht="15" hidden="false" customHeight="false" outlineLevel="0" collapsed="false">
      <c r="A39" s="2" t="s">
        <v>260</v>
      </c>
      <c r="B39" s="3" t="s">
        <v>261</v>
      </c>
      <c r="C39" s="3" t="s">
        <v>262</v>
      </c>
      <c r="D39" s="3"/>
      <c r="E39" s="3"/>
      <c r="F39" s="3"/>
      <c r="G39" s="2"/>
      <c r="H39" s="4" t="s">
        <v>263</v>
      </c>
      <c r="I39" s="7" t="s">
        <v>42</v>
      </c>
      <c r="J39" s="3"/>
      <c r="K39" s="3"/>
      <c r="L39" s="5" t="b">
        <f aca="false">FALSE()</f>
        <v>0</v>
      </c>
      <c r="M39" s="5" t="b">
        <f aca="false">FALSE()</f>
        <v>0</v>
      </c>
      <c r="N39" s="6"/>
      <c r="O39" s="6"/>
      <c r="P39" s="2"/>
      <c r="Q39" s="4" t="s">
        <v>214</v>
      </c>
      <c r="R39" s="3"/>
    </row>
    <row r="40" customFormat="false" ht="15" hidden="false" customHeight="false" outlineLevel="0" collapsed="false">
      <c r="A40" s="2" t="s">
        <v>264</v>
      </c>
      <c r="B40" s="3" t="s">
        <v>265</v>
      </c>
      <c r="C40" s="3" t="s">
        <v>262</v>
      </c>
      <c r="D40" s="3" t="s">
        <v>72</v>
      </c>
      <c r="E40" s="3" t="s">
        <v>266</v>
      </c>
      <c r="F40" s="3" t="s">
        <v>267</v>
      </c>
      <c r="G40" s="2" t="s">
        <v>268</v>
      </c>
      <c r="H40" s="4" t="s">
        <v>269</v>
      </c>
      <c r="I40" s="3" t="s">
        <v>25</v>
      </c>
      <c r="J40" s="3" t="s">
        <v>270</v>
      </c>
      <c r="K40" s="3"/>
      <c r="L40" s="5" t="b">
        <f aca="false">FALSE()</f>
        <v>0</v>
      </c>
      <c r="M40" s="5" t="b">
        <f aca="false">FALSE()</f>
        <v>0</v>
      </c>
      <c r="N40" s="6"/>
      <c r="O40" s="6"/>
      <c r="P40" s="2"/>
      <c r="Q40" s="4" t="s">
        <v>131</v>
      </c>
      <c r="R40" s="3" t="s">
        <v>132</v>
      </c>
    </row>
    <row r="41" customFormat="false" ht="15" hidden="false" customHeight="false" outlineLevel="0" collapsed="false">
      <c r="A41" s="2" t="s">
        <v>271</v>
      </c>
      <c r="B41" s="3" t="s">
        <v>272</v>
      </c>
      <c r="C41" s="3" t="s">
        <v>262</v>
      </c>
      <c r="D41" s="3" t="s">
        <v>72</v>
      </c>
      <c r="E41" s="3" t="s">
        <v>273</v>
      </c>
      <c r="F41" s="3" t="s">
        <v>274</v>
      </c>
      <c r="G41" s="2" t="s">
        <v>92</v>
      </c>
      <c r="H41" s="4" t="s">
        <v>275</v>
      </c>
      <c r="I41" s="3" t="s">
        <v>25</v>
      </c>
      <c r="J41" s="3" t="s">
        <v>276</v>
      </c>
      <c r="K41" s="3"/>
      <c r="L41" s="5" t="b">
        <f aca="false">FALSE()</f>
        <v>0</v>
      </c>
      <c r="M41" s="5" t="b">
        <f aca="false">FALSE()</f>
        <v>0</v>
      </c>
      <c r="N41" s="6"/>
      <c r="O41" s="6"/>
      <c r="P41" s="2"/>
      <c r="Q41" s="4" t="s">
        <v>277</v>
      </c>
      <c r="R41" s="3" t="s">
        <v>132</v>
      </c>
    </row>
    <row r="42" customFormat="false" ht="15" hidden="false" customHeight="false" outlineLevel="0" collapsed="false">
      <c r="A42" s="2" t="s">
        <v>278</v>
      </c>
      <c r="B42" s="3" t="s">
        <v>155</v>
      </c>
      <c r="C42" s="3" t="s">
        <v>262</v>
      </c>
      <c r="D42" s="3" t="s">
        <v>40</v>
      </c>
      <c r="E42" s="3" t="s">
        <v>279</v>
      </c>
      <c r="F42" s="3" t="s">
        <v>280</v>
      </c>
      <c r="G42" s="2" t="s">
        <v>281</v>
      </c>
      <c r="H42" s="4" t="s">
        <v>282</v>
      </c>
      <c r="I42" s="3" t="s">
        <v>25</v>
      </c>
      <c r="J42" s="3"/>
      <c r="K42" s="3"/>
      <c r="L42" s="5" t="b">
        <f aca="false">FALSE()</f>
        <v>0</v>
      </c>
      <c r="M42" s="5" t="b">
        <f aca="false">FALSE()</f>
        <v>0</v>
      </c>
      <c r="N42" s="6"/>
      <c r="O42" s="6"/>
      <c r="P42" s="2" t="s">
        <v>283</v>
      </c>
      <c r="Q42" s="4" t="s">
        <v>284</v>
      </c>
      <c r="R42" s="3" t="s">
        <v>86</v>
      </c>
    </row>
    <row r="43" customFormat="false" ht="35.05" hidden="false" customHeight="false" outlineLevel="0" collapsed="false">
      <c r="A43" s="2" t="s">
        <v>285</v>
      </c>
      <c r="B43" s="3" t="s">
        <v>286</v>
      </c>
      <c r="C43" s="3" t="s">
        <v>262</v>
      </c>
      <c r="D43" s="3" t="s">
        <v>72</v>
      </c>
      <c r="E43" s="3"/>
      <c r="F43" s="3"/>
      <c r="G43" s="2"/>
      <c r="H43" s="4" t="s">
        <v>287</v>
      </c>
      <c r="I43" s="8" t="s">
        <v>74</v>
      </c>
      <c r="J43" s="3"/>
      <c r="K43" s="3"/>
      <c r="L43" s="5" t="b">
        <f aca="false">FALSE()</f>
        <v>0</v>
      </c>
      <c r="M43" s="5" t="b">
        <f aca="false">FALSE()</f>
        <v>0</v>
      </c>
      <c r="N43" s="6"/>
      <c r="O43" s="6"/>
      <c r="P43" s="2" t="s">
        <v>288</v>
      </c>
      <c r="Q43" s="4" t="s">
        <v>289</v>
      </c>
      <c r="R43" s="3"/>
    </row>
    <row r="44" customFormat="false" ht="15" hidden="false" customHeight="false" outlineLevel="0" collapsed="false">
      <c r="A44" s="2" t="s">
        <v>290</v>
      </c>
      <c r="B44" s="3" t="s">
        <v>291</v>
      </c>
      <c r="C44" s="3" t="s">
        <v>262</v>
      </c>
      <c r="D44" s="3" t="s">
        <v>72</v>
      </c>
      <c r="E44" s="3" t="s">
        <v>292</v>
      </c>
      <c r="F44" s="3" t="s">
        <v>293</v>
      </c>
      <c r="G44" s="2" t="s">
        <v>61</v>
      </c>
      <c r="H44" s="4" t="s">
        <v>294</v>
      </c>
      <c r="I44" s="3" t="s">
        <v>25</v>
      </c>
      <c r="J44" s="3"/>
      <c r="K44" s="3"/>
      <c r="L44" s="5" t="b">
        <f aca="false">FALSE()</f>
        <v>0</v>
      </c>
      <c r="M44" s="5" t="b">
        <f aca="false">FALSE()</f>
        <v>0</v>
      </c>
      <c r="N44" s="6"/>
      <c r="O44" s="6"/>
      <c r="P44" s="2"/>
      <c r="Q44" s="4" t="s">
        <v>295</v>
      </c>
      <c r="R44" s="3" t="s">
        <v>132</v>
      </c>
    </row>
    <row r="45" customFormat="false" ht="15" hidden="false" customHeight="false" outlineLevel="0" collapsed="false">
      <c r="A45" s="2" t="s">
        <v>296</v>
      </c>
      <c r="B45" s="3" t="s">
        <v>297</v>
      </c>
      <c r="C45" s="3" t="s">
        <v>262</v>
      </c>
      <c r="D45" s="3" t="s">
        <v>72</v>
      </c>
      <c r="E45" s="3" t="s">
        <v>298</v>
      </c>
      <c r="F45" s="3" t="s">
        <v>299</v>
      </c>
      <c r="G45" s="2" t="s">
        <v>92</v>
      </c>
      <c r="H45" s="4" t="s">
        <v>300</v>
      </c>
      <c r="I45" s="3" t="s">
        <v>25</v>
      </c>
      <c r="J45" s="3" t="s">
        <v>301</v>
      </c>
      <c r="K45" s="3"/>
      <c r="L45" s="5" t="b">
        <f aca="false">FALSE()</f>
        <v>0</v>
      </c>
      <c r="M45" s="5" t="b">
        <f aca="false">FALSE()</f>
        <v>0</v>
      </c>
      <c r="N45" s="6"/>
      <c r="O45" s="6"/>
      <c r="P45" s="2" t="s">
        <v>302</v>
      </c>
      <c r="Q45" s="4" t="s">
        <v>303</v>
      </c>
      <c r="R45" s="3" t="s">
        <v>114</v>
      </c>
    </row>
    <row r="46" customFormat="false" ht="15" hidden="false" customHeight="false" outlineLevel="0" collapsed="false">
      <c r="A46" s="2" t="s">
        <v>304</v>
      </c>
      <c r="B46" s="3" t="s">
        <v>305</v>
      </c>
      <c r="C46" s="3" t="s">
        <v>262</v>
      </c>
      <c r="D46" s="3" t="s">
        <v>72</v>
      </c>
      <c r="E46" s="3"/>
      <c r="F46" s="3"/>
      <c r="G46" s="2"/>
      <c r="H46" s="4" t="s">
        <v>306</v>
      </c>
      <c r="I46" s="8" t="s">
        <v>74</v>
      </c>
      <c r="J46" s="3"/>
      <c r="K46" s="3"/>
      <c r="L46" s="5" t="b">
        <f aca="false">FALSE()</f>
        <v>0</v>
      </c>
      <c r="M46" s="5" t="b">
        <f aca="false">FALSE()</f>
        <v>0</v>
      </c>
      <c r="N46" s="6"/>
      <c r="O46" s="6"/>
      <c r="P46" s="2"/>
      <c r="Q46" s="4" t="s">
        <v>307</v>
      </c>
      <c r="R46" s="3"/>
    </row>
    <row r="47" customFormat="false" ht="15" hidden="false" customHeight="false" outlineLevel="0" collapsed="false">
      <c r="A47" s="2" t="s">
        <v>308</v>
      </c>
      <c r="B47" s="3" t="s">
        <v>309</v>
      </c>
      <c r="C47" s="3" t="s">
        <v>310</v>
      </c>
      <c r="D47" s="3"/>
      <c r="E47" s="3"/>
      <c r="F47" s="3"/>
      <c r="G47" s="2"/>
      <c r="H47" s="3"/>
      <c r="I47" s="8" t="s">
        <v>50</v>
      </c>
      <c r="J47" s="3"/>
      <c r="K47" s="3"/>
      <c r="L47" s="5" t="b">
        <f aca="false">FALSE()</f>
        <v>0</v>
      </c>
      <c r="M47" s="5" t="b">
        <f aca="false">FALSE()</f>
        <v>0</v>
      </c>
      <c r="N47" s="6"/>
      <c r="O47" s="6"/>
      <c r="P47" s="2" t="s">
        <v>311</v>
      </c>
      <c r="Q47" s="4" t="s">
        <v>153</v>
      </c>
      <c r="R47" s="3"/>
    </row>
    <row r="48" customFormat="false" ht="15" hidden="false" customHeight="false" outlineLevel="0" collapsed="false">
      <c r="A48" s="2" t="s">
        <v>312</v>
      </c>
      <c r="B48" s="3" t="s">
        <v>313</v>
      </c>
      <c r="C48" s="3" t="s">
        <v>314</v>
      </c>
      <c r="D48" s="3"/>
      <c r="E48" s="3"/>
      <c r="F48" s="3"/>
      <c r="G48" s="2"/>
      <c r="H48" s="4" t="s">
        <v>315</v>
      </c>
      <c r="I48" s="8" t="s">
        <v>74</v>
      </c>
      <c r="J48" s="3"/>
      <c r="K48" s="3"/>
      <c r="L48" s="5" t="b">
        <f aca="false">FALSE()</f>
        <v>0</v>
      </c>
      <c r="M48" s="5" t="b">
        <f aca="false">FALSE()</f>
        <v>0</v>
      </c>
      <c r="N48" s="6"/>
      <c r="O48" s="6"/>
      <c r="P48" s="2"/>
      <c r="Q48" s="4" t="s">
        <v>316</v>
      </c>
      <c r="R48" s="3"/>
    </row>
    <row r="49" customFormat="false" ht="15" hidden="false" customHeight="false" outlineLevel="0" collapsed="false">
      <c r="A49" s="2" t="s">
        <v>317</v>
      </c>
      <c r="B49" s="3" t="s">
        <v>318</v>
      </c>
      <c r="C49" s="3" t="s">
        <v>319</v>
      </c>
      <c r="D49" s="3" t="s">
        <v>72</v>
      </c>
      <c r="E49" s="3"/>
      <c r="F49" s="3"/>
      <c r="G49" s="2"/>
      <c r="H49" s="3"/>
      <c r="I49" s="8" t="s">
        <v>50</v>
      </c>
      <c r="J49" s="3"/>
      <c r="K49" s="3"/>
      <c r="L49" s="5" t="b">
        <f aca="false">FALSE()</f>
        <v>0</v>
      </c>
      <c r="M49" s="5" t="b">
        <f aca="false">FALSE()</f>
        <v>0</v>
      </c>
      <c r="N49" s="6"/>
      <c r="O49" s="6"/>
      <c r="P49" s="2" t="s">
        <v>320</v>
      </c>
      <c r="Q49" s="4" t="s">
        <v>321</v>
      </c>
      <c r="R49" s="3"/>
    </row>
    <row r="50" customFormat="false" ht="15" hidden="false" customHeight="false" outlineLevel="0" collapsed="false">
      <c r="A50" s="2" t="s">
        <v>322</v>
      </c>
      <c r="B50" s="3" t="s">
        <v>323</v>
      </c>
      <c r="C50" s="3" t="s">
        <v>319</v>
      </c>
      <c r="D50" s="3" t="s">
        <v>72</v>
      </c>
      <c r="E50" s="3" t="s">
        <v>324</v>
      </c>
      <c r="F50" s="3" t="s">
        <v>325</v>
      </c>
      <c r="G50" s="2" t="s">
        <v>23</v>
      </c>
      <c r="H50" s="4" t="s">
        <v>326</v>
      </c>
      <c r="I50" s="3" t="s">
        <v>25</v>
      </c>
      <c r="J50" s="3" t="s">
        <v>327</v>
      </c>
      <c r="K50" s="3"/>
      <c r="L50" s="5" t="b">
        <f aca="false">FALSE()</f>
        <v>0</v>
      </c>
      <c r="M50" s="5" t="b">
        <f aca="false">FALSE()</f>
        <v>0</v>
      </c>
      <c r="N50" s="6"/>
      <c r="O50" s="6"/>
      <c r="P50" s="2" t="s">
        <v>328</v>
      </c>
      <c r="Q50" s="4" t="s">
        <v>329</v>
      </c>
      <c r="R50" s="3"/>
    </row>
    <row r="51" customFormat="false" ht="15" hidden="false" customHeight="false" outlineLevel="0" collapsed="false">
      <c r="A51" s="2" t="s">
        <v>330</v>
      </c>
      <c r="B51" s="3" t="s">
        <v>331</v>
      </c>
      <c r="C51" s="3" t="s">
        <v>319</v>
      </c>
      <c r="D51" s="3"/>
      <c r="E51" s="3"/>
      <c r="F51" s="3"/>
      <c r="G51" s="2"/>
      <c r="H51" s="4" t="s">
        <v>332</v>
      </c>
      <c r="I51" s="8" t="s">
        <v>74</v>
      </c>
      <c r="J51" s="3"/>
      <c r="K51" s="3"/>
      <c r="L51" s="5" t="b">
        <f aca="false">FALSE()</f>
        <v>0</v>
      </c>
      <c r="M51" s="5" t="b">
        <f aca="false">FALSE()</f>
        <v>0</v>
      </c>
      <c r="N51" s="6"/>
      <c r="O51" s="6"/>
      <c r="P51" s="2"/>
      <c r="Q51" s="4" t="s">
        <v>153</v>
      </c>
      <c r="R51" s="3"/>
    </row>
    <row r="52" customFormat="false" ht="15" hidden="false" customHeight="false" outlineLevel="0" collapsed="false">
      <c r="A52" s="2" t="s">
        <v>333</v>
      </c>
      <c r="B52" s="3" t="s">
        <v>334</v>
      </c>
      <c r="C52" s="3" t="s">
        <v>319</v>
      </c>
      <c r="D52" s="3" t="s">
        <v>72</v>
      </c>
      <c r="E52" s="3"/>
      <c r="F52" s="3"/>
      <c r="G52" s="2"/>
      <c r="H52" s="4" t="s">
        <v>335</v>
      </c>
      <c r="I52" s="8" t="s">
        <v>74</v>
      </c>
      <c r="J52" s="3"/>
      <c r="K52" s="3"/>
      <c r="L52" s="5" t="b">
        <f aca="false">FALSE()</f>
        <v>0</v>
      </c>
      <c r="M52" s="5" t="b">
        <f aca="false">FALSE()</f>
        <v>0</v>
      </c>
      <c r="N52" s="6"/>
      <c r="O52" s="6"/>
      <c r="P52" s="2" t="s">
        <v>336</v>
      </c>
      <c r="Q52" s="4" t="s">
        <v>337</v>
      </c>
      <c r="R52" s="3" t="s">
        <v>86</v>
      </c>
    </row>
    <row r="53" customFormat="false" ht="15" hidden="false" customHeight="false" outlineLevel="0" collapsed="false">
      <c r="A53" s="2" t="s">
        <v>338</v>
      </c>
      <c r="B53" s="3" t="s">
        <v>339</v>
      </c>
      <c r="C53" s="3" t="s">
        <v>319</v>
      </c>
      <c r="D53" s="3" t="s">
        <v>72</v>
      </c>
      <c r="E53" s="3" t="s">
        <v>340</v>
      </c>
      <c r="F53" s="3" t="s">
        <v>341</v>
      </c>
      <c r="G53" s="2" t="s">
        <v>342</v>
      </c>
      <c r="H53" s="4" t="s">
        <v>343</v>
      </c>
      <c r="I53" s="3" t="s">
        <v>25</v>
      </c>
      <c r="J53" s="3"/>
      <c r="K53" s="3" t="s">
        <v>344</v>
      </c>
      <c r="L53" s="5" t="b">
        <f aca="false">FALSE()</f>
        <v>0</v>
      </c>
      <c r="M53" s="5" t="b">
        <f aca="false">FALSE()</f>
        <v>0</v>
      </c>
      <c r="N53" s="6"/>
      <c r="O53" s="6"/>
      <c r="P53" s="2" t="s">
        <v>345</v>
      </c>
      <c r="Q53" s="4" t="s">
        <v>346</v>
      </c>
      <c r="R53" s="3" t="s">
        <v>132</v>
      </c>
    </row>
    <row r="54" customFormat="false" ht="15" hidden="false" customHeight="false" outlineLevel="0" collapsed="false">
      <c r="A54" s="2" t="s">
        <v>347</v>
      </c>
      <c r="B54" s="3" t="s">
        <v>348</v>
      </c>
      <c r="C54" s="3" t="s">
        <v>349</v>
      </c>
      <c r="D54" s="3"/>
      <c r="E54" s="3"/>
      <c r="F54" s="3"/>
      <c r="G54" s="2"/>
      <c r="H54" s="4" t="s">
        <v>350</v>
      </c>
      <c r="I54" s="8" t="s">
        <v>74</v>
      </c>
      <c r="J54" s="3"/>
      <c r="K54" s="3"/>
      <c r="L54" s="5" t="b">
        <f aca="false">FALSE()</f>
        <v>0</v>
      </c>
      <c r="M54" s="5" t="b">
        <f aca="false">FALSE()</f>
        <v>0</v>
      </c>
      <c r="N54" s="6"/>
      <c r="O54" s="6"/>
      <c r="P54" s="2"/>
      <c r="Q54" s="4" t="s">
        <v>157</v>
      </c>
      <c r="R54" s="3"/>
    </row>
    <row r="55" customFormat="false" ht="15" hidden="false" customHeight="false" outlineLevel="0" collapsed="false">
      <c r="A55" s="2" t="s">
        <v>351</v>
      </c>
      <c r="B55" s="3" t="s">
        <v>352</v>
      </c>
      <c r="C55" s="3" t="s">
        <v>349</v>
      </c>
      <c r="D55" s="3" t="s">
        <v>40</v>
      </c>
      <c r="E55" s="3"/>
      <c r="F55" s="3"/>
      <c r="G55" s="2"/>
      <c r="H55" s="3"/>
      <c r="I55" s="8" t="s">
        <v>50</v>
      </c>
      <c r="J55" s="3"/>
      <c r="K55" s="3"/>
      <c r="L55" s="5" t="b">
        <f aca="false">FALSE()</f>
        <v>0</v>
      </c>
      <c r="M55" s="5" t="b">
        <f aca="false">FALSE()</f>
        <v>0</v>
      </c>
      <c r="N55" s="6"/>
      <c r="O55" s="6"/>
      <c r="P55" s="2" t="s">
        <v>353</v>
      </c>
      <c r="Q55" s="4" t="s">
        <v>43</v>
      </c>
      <c r="R55" s="3"/>
    </row>
    <row r="56" customFormat="false" ht="15" hidden="false" customHeight="false" outlineLevel="0" collapsed="false">
      <c r="A56" s="2" t="s">
        <v>354</v>
      </c>
      <c r="B56" s="3" t="s">
        <v>355</v>
      </c>
      <c r="C56" s="3" t="s">
        <v>356</v>
      </c>
      <c r="D56" s="3" t="s">
        <v>72</v>
      </c>
      <c r="E56" s="3" t="s">
        <v>357</v>
      </c>
      <c r="F56" s="3" t="s">
        <v>358</v>
      </c>
      <c r="G56" s="2" t="s">
        <v>92</v>
      </c>
      <c r="H56" s="4" t="s">
        <v>359</v>
      </c>
      <c r="I56" s="3" t="s">
        <v>25</v>
      </c>
      <c r="J56" s="3" t="s">
        <v>360</v>
      </c>
      <c r="K56" s="3"/>
      <c r="L56" s="5" t="b">
        <f aca="false">FALSE()</f>
        <v>0</v>
      </c>
      <c r="M56" s="5" t="b">
        <f aca="false">FALSE()</f>
        <v>0</v>
      </c>
      <c r="N56" s="6"/>
      <c r="O56" s="6"/>
      <c r="P56" s="2" t="s">
        <v>361</v>
      </c>
      <c r="Q56" s="4" t="s">
        <v>362</v>
      </c>
      <c r="R56" s="3" t="s">
        <v>114</v>
      </c>
    </row>
    <row r="57" customFormat="false" ht="15" hidden="false" customHeight="false" outlineLevel="0" collapsed="false">
      <c r="A57" s="2" t="s">
        <v>363</v>
      </c>
      <c r="B57" s="3" t="s">
        <v>364</v>
      </c>
      <c r="C57" s="3" t="s">
        <v>356</v>
      </c>
      <c r="D57" s="3" t="s">
        <v>72</v>
      </c>
      <c r="E57" s="3"/>
      <c r="F57" s="3"/>
      <c r="G57" s="2"/>
      <c r="H57" s="4" t="s">
        <v>365</v>
      </c>
      <c r="I57" s="8" t="s">
        <v>74</v>
      </c>
      <c r="J57" s="3"/>
      <c r="K57" s="3"/>
      <c r="L57" s="5" t="b">
        <f aca="false">FALSE()</f>
        <v>0</v>
      </c>
      <c r="M57" s="5" t="b">
        <f aca="false">FALSE()</f>
        <v>0</v>
      </c>
      <c r="N57" s="6"/>
      <c r="O57" s="6"/>
      <c r="P57" s="2"/>
      <c r="Q57" s="4" t="s">
        <v>366</v>
      </c>
      <c r="R57" s="3"/>
    </row>
    <row r="58" customFormat="false" ht="15" hidden="false" customHeight="false" outlineLevel="0" collapsed="false">
      <c r="A58" s="2" t="s">
        <v>367</v>
      </c>
      <c r="B58" s="3" t="s">
        <v>368</v>
      </c>
      <c r="C58" s="3" t="s">
        <v>369</v>
      </c>
      <c r="D58" s="3" t="s">
        <v>40</v>
      </c>
      <c r="E58" s="3"/>
      <c r="F58" s="3"/>
      <c r="G58" s="2"/>
      <c r="H58" s="4" t="s">
        <v>370</v>
      </c>
      <c r="I58" s="8" t="s">
        <v>74</v>
      </c>
      <c r="J58" s="3"/>
      <c r="K58" s="3"/>
      <c r="L58" s="5" t="b">
        <f aca="false">FALSE()</f>
        <v>0</v>
      </c>
      <c r="M58" s="5" t="b">
        <f aca="false">FALSE()</f>
        <v>0</v>
      </c>
      <c r="N58" s="6"/>
      <c r="O58" s="6"/>
      <c r="P58" s="2"/>
      <c r="Q58" s="4" t="s">
        <v>43</v>
      </c>
      <c r="R58" s="3"/>
    </row>
    <row r="59" customFormat="false" ht="15" hidden="false" customHeight="false" outlineLevel="0" collapsed="false">
      <c r="A59" s="2" t="s">
        <v>371</v>
      </c>
      <c r="B59" s="3" t="s">
        <v>372</v>
      </c>
      <c r="C59" s="3" t="s">
        <v>373</v>
      </c>
      <c r="D59" s="3" t="s">
        <v>72</v>
      </c>
      <c r="E59" s="3" t="s">
        <v>273</v>
      </c>
      <c r="F59" s="3" t="s">
        <v>374</v>
      </c>
      <c r="G59" s="2" t="s">
        <v>375</v>
      </c>
      <c r="H59" s="4" t="s">
        <v>376</v>
      </c>
      <c r="I59" s="3" t="s">
        <v>25</v>
      </c>
      <c r="J59" s="3"/>
      <c r="K59" s="3"/>
      <c r="L59" s="5" t="b">
        <f aca="false">FALSE()</f>
        <v>0</v>
      </c>
      <c r="M59" s="5" t="b">
        <f aca="false">FALSE()</f>
        <v>0</v>
      </c>
      <c r="N59" s="6"/>
      <c r="O59" s="6"/>
      <c r="P59" s="2"/>
      <c r="Q59" s="4" t="s">
        <v>377</v>
      </c>
      <c r="R59" s="3" t="s">
        <v>86</v>
      </c>
    </row>
    <row r="60" customFormat="false" ht="15" hidden="false" customHeight="false" outlineLevel="0" collapsed="false">
      <c r="A60" s="2" t="s">
        <v>378</v>
      </c>
      <c r="B60" s="3" t="s">
        <v>379</v>
      </c>
      <c r="C60" s="3" t="s">
        <v>373</v>
      </c>
      <c r="D60" s="3" t="s">
        <v>40</v>
      </c>
      <c r="E60" s="3"/>
      <c r="F60" s="3"/>
      <c r="G60" s="2"/>
      <c r="H60" s="4" t="s">
        <v>380</v>
      </c>
      <c r="I60" s="8" t="s">
        <v>74</v>
      </c>
      <c r="J60" s="3"/>
      <c r="K60" s="3"/>
      <c r="L60" s="5" t="b">
        <f aca="false">FALSE()</f>
        <v>0</v>
      </c>
      <c r="M60" s="5" t="b">
        <f aca="false">FALSE()</f>
        <v>0</v>
      </c>
      <c r="N60" s="6"/>
      <c r="O60" s="6"/>
      <c r="P60" s="2"/>
      <c r="Q60" s="4" t="s">
        <v>381</v>
      </c>
      <c r="R60" s="3"/>
    </row>
    <row r="61" customFormat="false" ht="15" hidden="false" customHeight="false" outlineLevel="0" collapsed="false">
      <c r="A61" s="2" t="s">
        <v>382</v>
      </c>
      <c r="B61" s="3" t="s">
        <v>383</v>
      </c>
      <c r="C61" s="3" t="s">
        <v>373</v>
      </c>
      <c r="D61" s="3" t="s">
        <v>72</v>
      </c>
      <c r="E61" s="3" t="s">
        <v>384</v>
      </c>
      <c r="F61" s="3" t="s">
        <v>385</v>
      </c>
      <c r="G61" s="2" t="s">
        <v>249</v>
      </c>
      <c r="H61" s="4" t="s">
        <v>386</v>
      </c>
      <c r="I61" s="3" t="s">
        <v>25</v>
      </c>
      <c r="J61" s="3"/>
      <c r="K61" s="3"/>
      <c r="L61" s="5" t="b">
        <f aca="false">FALSE()</f>
        <v>0</v>
      </c>
      <c r="M61" s="5" t="b">
        <f aca="false">FALSE()</f>
        <v>0</v>
      </c>
      <c r="N61" s="6"/>
      <c r="O61" s="6"/>
      <c r="P61" s="2" t="s">
        <v>387</v>
      </c>
      <c r="Q61" s="4" t="s">
        <v>388</v>
      </c>
      <c r="R61" s="3" t="s">
        <v>389</v>
      </c>
    </row>
    <row r="62" customFormat="false" ht="15" hidden="false" customHeight="false" outlineLevel="0" collapsed="false">
      <c r="A62" s="2" t="s">
        <v>390</v>
      </c>
      <c r="B62" s="3" t="s">
        <v>391</v>
      </c>
      <c r="C62" s="3" t="s">
        <v>373</v>
      </c>
      <c r="D62" s="3"/>
      <c r="E62" s="3" t="s">
        <v>392</v>
      </c>
      <c r="F62" s="3" t="s">
        <v>393</v>
      </c>
      <c r="G62" s="2" t="s">
        <v>394</v>
      </c>
      <c r="H62" s="4" t="s">
        <v>395</v>
      </c>
      <c r="I62" s="3" t="s">
        <v>25</v>
      </c>
      <c r="J62" s="3"/>
      <c r="K62" s="3"/>
      <c r="L62" s="5" t="b">
        <f aca="false">FALSE()</f>
        <v>0</v>
      </c>
      <c r="M62" s="5" t="b">
        <f aca="false">FALSE()</f>
        <v>0</v>
      </c>
      <c r="N62" s="6"/>
      <c r="O62" s="6"/>
      <c r="P62" s="2" t="s">
        <v>387</v>
      </c>
      <c r="Q62" s="4" t="s">
        <v>396</v>
      </c>
      <c r="R62" s="3" t="s">
        <v>389</v>
      </c>
    </row>
    <row r="63" customFormat="false" ht="15" hidden="false" customHeight="false" outlineLevel="0" collapsed="false">
      <c r="A63" s="2" t="s">
        <v>397</v>
      </c>
      <c r="B63" s="3" t="s">
        <v>398</v>
      </c>
      <c r="C63" s="3" t="s">
        <v>373</v>
      </c>
      <c r="D63" s="3"/>
      <c r="E63" s="3"/>
      <c r="F63" s="3"/>
      <c r="G63" s="2"/>
      <c r="H63" s="4" t="s">
        <v>399</v>
      </c>
      <c r="I63" s="8" t="s">
        <v>74</v>
      </c>
      <c r="J63" s="3"/>
      <c r="K63" s="3"/>
      <c r="L63" s="5" t="b">
        <f aca="false">FALSE()</f>
        <v>0</v>
      </c>
      <c r="M63" s="5" t="b">
        <f aca="false">FALSE()</f>
        <v>0</v>
      </c>
      <c r="N63" s="6"/>
      <c r="O63" s="6"/>
      <c r="P63" s="2"/>
      <c r="Q63" s="4" t="s">
        <v>400</v>
      </c>
      <c r="R63" s="3"/>
    </row>
    <row r="64" customFormat="false" ht="15" hidden="false" customHeight="false" outlineLevel="0" collapsed="false">
      <c r="A64" s="2" t="s">
        <v>401</v>
      </c>
      <c r="B64" s="3" t="s">
        <v>402</v>
      </c>
      <c r="C64" s="3" t="s">
        <v>373</v>
      </c>
      <c r="D64" s="3" t="s">
        <v>72</v>
      </c>
      <c r="E64" s="3"/>
      <c r="F64" s="3"/>
      <c r="G64" s="2"/>
      <c r="H64" s="3"/>
      <c r="I64" s="8" t="s">
        <v>50</v>
      </c>
      <c r="J64" s="3"/>
      <c r="K64" s="3"/>
      <c r="L64" s="5" t="b">
        <f aca="false">FALSE()</f>
        <v>0</v>
      </c>
      <c r="M64" s="5" t="b">
        <f aca="false">FALSE()</f>
        <v>0</v>
      </c>
      <c r="N64" s="6"/>
      <c r="O64" s="6"/>
      <c r="P64" s="2" t="s">
        <v>403</v>
      </c>
      <c r="Q64" s="4" t="s">
        <v>366</v>
      </c>
      <c r="R64" s="3"/>
    </row>
    <row r="65" customFormat="false" ht="15" hidden="false" customHeight="false" outlineLevel="0" collapsed="false">
      <c r="A65" s="2" t="s">
        <v>404</v>
      </c>
      <c r="B65" s="3" t="s">
        <v>405</v>
      </c>
      <c r="C65" s="3" t="s">
        <v>406</v>
      </c>
      <c r="D65" s="3"/>
      <c r="E65" s="3"/>
      <c r="F65" s="3"/>
      <c r="G65" s="2"/>
      <c r="H65" s="4" t="s">
        <v>407</v>
      </c>
      <c r="I65" s="8" t="s">
        <v>74</v>
      </c>
      <c r="J65" s="3"/>
      <c r="K65" s="3"/>
      <c r="L65" s="5" t="b">
        <f aca="false">FALSE()</f>
        <v>0</v>
      </c>
      <c r="M65" s="5" t="b">
        <f aca="false">FALSE()</f>
        <v>0</v>
      </c>
      <c r="N65" s="6"/>
      <c r="O65" s="6"/>
      <c r="P65" s="2"/>
      <c r="Q65" s="4" t="s">
        <v>56</v>
      </c>
      <c r="R65" s="3"/>
    </row>
    <row r="66" customFormat="false" ht="15" hidden="false" customHeight="false" outlineLevel="0" collapsed="false">
      <c r="A66" s="2" t="s">
        <v>408</v>
      </c>
      <c r="B66" s="3" t="s">
        <v>409</v>
      </c>
      <c r="C66" s="3" t="s">
        <v>406</v>
      </c>
      <c r="D66" s="3"/>
      <c r="E66" s="3"/>
      <c r="F66" s="3"/>
      <c r="G66" s="2"/>
      <c r="H66" s="4" t="s">
        <v>410</v>
      </c>
      <c r="I66" s="8" t="s">
        <v>74</v>
      </c>
      <c r="J66" s="3"/>
      <c r="K66" s="3"/>
      <c r="L66" s="5" t="b">
        <f aca="false">FALSE()</f>
        <v>0</v>
      </c>
      <c r="M66" s="5" t="b">
        <f aca="false">FALSE()</f>
        <v>0</v>
      </c>
      <c r="N66" s="6"/>
      <c r="O66" s="6"/>
      <c r="P66" s="2"/>
      <c r="Q66" s="4" t="s">
        <v>153</v>
      </c>
      <c r="R66" s="3"/>
    </row>
    <row r="67" customFormat="false" ht="15" hidden="false" customHeight="false" outlineLevel="0" collapsed="false">
      <c r="A67" s="2" t="s">
        <v>411</v>
      </c>
      <c r="B67" s="3" t="s">
        <v>412</v>
      </c>
      <c r="C67" s="3" t="s">
        <v>406</v>
      </c>
      <c r="D67" s="3"/>
      <c r="E67" s="3" t="s">
        <v>413</v>
      </c>
      <c r="F67" s="3" t="s">
        <v>414</v>
      </c>
      <c r="G67" s="2" t="s">
        <v>249</v>
      </c>
      <c r="H67" s="4" t="s">
        <v>415</v>
      </c>
      <c r="I67" s="3" t="s">
        <v>25</v>
      </c>
      <c r="J67" s="3" t="s">
        <v>416</v>
      </c>
      <c r="K67" s="3" t="s">
        <v>417</v>
      </c>
      <c r="L67" s="5" t="b">
        <f aca="false">FALSE()</f>
        <v>0</v>
      </c>
      <c r="M67" s="5" t="b">
        <f aca="false">FALSE()</f>
        <v>0</v>
      </c>
      <c r="N67" s="6"/>
      <c r="O67" s="6"/>
      <c r="P67" s="2" t="s">
        <v>418</v>
      </c>
      <c r="Q67" s="4" t="s">
        <v>419</v>
      </c>
      <c r="R67" s="3" t="s">
        <v>106</v>
      </c>
    </row>
    <row r="68" customFormat="false" ht="15" hidden="false" customHeight="false" outlineLevel="0" collapsed="false">
      <c r="A68" s="2" t="s">
        <v>420</v>
      </c>
      <c r="B68" s="3" t="s">
        <v>421</v>
      </c>
      <c r="C68" s="3" t="s">
        <v>406</v>
      </c>
      <c r="D68" s="3"/>
      <c r="E68" s="3"/>
      <c r="F68" s="3"/>
      <c r="G68" s="2"/>
      <c r="H68" s="3"/>
      <c r="I68" s="8" t="s">
        <v>50</v>
      </c>
      <c r="J68" s="3"/>
      <c r="K68" s="3"/>
      <c r="L68" s="5" t="b">
        <f aca="false">FALSE()</f>
        <v>0</v>
      </c>
      <c r="M68" s="5" t="b">
        <f aca="false">FALSE()</f>
        <v>0</v>
      </c>
      <c r="N68" s="6"/>
      <c r="O68" s="6"/>
      <c r="P68" s="2" t="s">
        <v>422</v>
      </c>
      <c r="Q68" s="4" t="s">
        <v>161</v>
      </c>
      <c r="R68" s="3"/>
    </row>
    <row r="69" customFormat="false" ht="15" hidden="false" customHeight="false" outlineLevel="0" collapsed="false">
      <c r="A69" s="2" t="s">
        <v>423</v>
      </c>
      <c r="B69" s="3" t="s">
        <v>424</v>
      </c>
      <c r="C69" s="3" t="s">
        <v>406</v>
      </c>
      <c r="D69" s="3" t="s">
        <v>72</v>
      </c>
      <c r="E69" s="3" t="s">
        <v>425</v>
      </c>
      <c r="F69" s="3" t="s">
        <v>426</v>
      </c>
      <c r="G69" s="2" t="s">
        <v>249</v>
      </c>
      <c r="H69" s="4" t="s">
        <v>427</v>
      </c>
      <c r="I69" s="8" t="s">
        <v>74</v>
      </c>
      <c r="J69" s="3"/>
      <c r="K69" s="3"/>
      <c r="L69" s="5" t="b">
        <f aca="false">FALSE()</f>
        <v>0</v>
      </c>
      <c r="M69" s="5" t="b">
        <f aca="false">FALSE()</f>
        <v>0</v>
      </c>
      <c r="N69" s="6"/>
      <c r="O69" s="6"/>
      <c r="P69" s="2" t="s">
        <v>428</v>
      </c>
      <c r="Q69" s="4" t="s">
        <v>429</v>
      </c>
      <c r="R69" s="3" t="s">
        <v>106</v>
      </c>
    </row>
    <row r="70" customFormat="false" ht="15" hidden="false" customHeight="false" outlineLevel="0" collapsed="false">
      <c r="A70" s="2" t="s">
        <v>430</v>
      </c>
      <c r="B70" s="3" t="s">
        <v>431</v>
      </c>
      <c r="C70" s="3" t="s">
        <v>406</v>
      </c>
      <c r="D70" s="3"/>
      <c r="E70" s="3"/>
      <c r="F70" s="3"/>
      <c r="G70" s="2"/>
      <c r="H70" s="4" t="s">
        <v>432</v>
      </c>
      <c r="I70" s="8" t="s">
        <v>74</v>
      </c>
      <c r="J70" s="3"/>
      <c r="K70" s="3"/>
      <c r="L70" s="5" t="b">
        <f aca="false">FALSE()</f>
        <v>0</v>
      </c>
      <c r="M70" s="5" t="b">
        <f aca="false">FALSE()</f>
        <v>0</v>
      </c>
      <c r="N70" s="6"/>
      <c r="O70" s="6"/>
      <c r="P70" s="2"/>
      <c r="Q70" s="4" t="s">
        <v>56</v>
      </c>
      <c r="R70" s="3"/>
    </row>
    <row r="71" customFormat="false" ht="15" hidden="false" customHeight="false" outlineLevel="0" collapsed="false">
      <c r="A71" s="2" t="s">
        <v>433</v>
      </c>
      <c r="B71" s="3" t="s">
        <v>434</v>
      </c>
      <c r="C71" s="3" t="s">
        <v>406</v>
      </c>
      <c r="D71" s="3"/>
      <c r="E71" s="3"/>
      <c r="F71" s="3"/>
      <c r="G71" s="2"/>
      <c r="H71" s="4" t="s">
        <v>435</v>
      </c>
      <c r="I71" s="8" t="s">
        <v>74</v>
      </c>
      <c r="J71" s="3"/>
      <c r="K71" s="3"/>
      <c r="L71" s="5" t="b">
        <f aca="false">FALSE()</f>
        <v>0</v>
      </c>
      <c r="M71" s="5" t="b">
        <f aca="false">FALSE()</f>
        <v>0</v>
      </c>
      <c r="N71" s="6"/>
      <c r="O71" s="6"/>
      <c r="P71" s="2"/>
      <c r="Q71" s="4" t="s">
        <v>153</v>
      </c>
      <c r="R71" s="3"/>
    </row>
    <row r="72" customFormat="false" ht="15" hidden="false" customHeight="false" outlineLevel="0" collapsed="false">
      <c r="A72" s="2" t="s">
        <v>436</v>
      </c>
      <c r="B72" s="3" t="s">
        <v>437</v>
      </c>
      <c r="C72" s="3" t="s">
        <v>406</v>
      </c>
      <c r="D72" s="3"/>
      <c r="E72" s="3" t="s">
        <v>438</v>
      </c>
      <c r="F72" s="3" t="s">
        <v>439</v>
      </c>
      <c r="G72" s="2" t="s">
        <v>440</v>
      </c>
      <c r="H72" s="4" t="s">
        <v>441</v>
      </c>
      <c r="I72" s="3" t="s">
        <v>25</v>
      </c>
      <c r="J72" s="3" t="s">
        <v>442</v>
      </c>
      <c r="K72" s="3"/>
      <c r="L72" s="5" t="b">
        <f aca="false">FALSE()</f>
        <v>0</v>
      </c>
      <c r="M72" s="5" t="b">
        <f aca="false">FALSE()</f>
        <v>0</v>
      </c>
      <c r="N72" s="6"/>
      <c r="O72" s="6"/>
      <c r="P72" s="2" t="s">
        <v>443</v>
      </c>
      <c r="Q72" s="4" t="s">
        <v>444</v>
      </c>
      <c r="R72" s="3"/>
    </row>
    <row r="73" customFormat="false" ht="15" hidden="false" customHeight="false" outlineLevel="0" collapsed="false">
      <c r="A73" s="2" t="s">
        <v>445</v>
      </c>
      <c r="B73" s="3" t="s">
        <v>446</v>
      </c>
      <c r="C73" s="3" t="s">
        <v>447</v>
      </c>
      <c r="D73" s="3"/>
      <c r="E73" s="3" t="s">
        <v>448</v>
      </c>
      <c r="F73" s="3" t="s">
        <v>449</v>
      </c>
      <c r="G73" s="2" t="s">
        <v>281</v>
      </c>
      <c r="H73" s="4" t="s">
        <v>450</v>
      </c>
      <c r="I73" s="3" t="s">
        <v>25</v>
      </c>
      <c r="J73" s="3" t="s">
        <v>451</v>
      </c>
      <c r="K73" s="3"/>
      <c r="L73" s="5" t="b">
        <f aca="false">FALSE()</f>
        <v>0</v>
      </c>
      <c r="M73" s="5" t="b">
        <f aca="false">FALSE()</f>
        <v>0</v>
      </c>
      <c r="N73" s="6"/>
      <c r="O73" s="6"/>
      <c r="P73" s="2"/>
      <c r="Q73" s="4" t="s">
        <v>131</v>
      </c>
      <c r="R73" s="3" t="s">
        <v>132</v>
      </c>
    </row>
    <row r="74" customFormat="false" ht="15" hidden="false" customHeight="false" outlineLevel="0" collapsed="false">
      <c r="A74" s="2" t="s">
        <v>452</v>
      </c>
      <c r="B74" s="3" t="s">
        <v>453</v>
      </c>
      <c r="C74" s="3" t="s">
        <v>447</v>
      </c>
      <c r="D74" s="3" t="s">
        <v>72</v>
      </c>
      <c r="E74" s="3" t="s">
        <v>454</v>
      </c>
      <c r="F74" s="3" t="s">
        <v>455</v>
      </c>
      <c r="G74" s="2" t="s">
        <v>33</v>
      </c>
      <c r="H74" s="4" t="s">
        <v>456</v>
      </c>
      <c r="I74" s="3" t="s">
        <v>25</v>
      </c>
      <c r="J74" s="3"/>
      <c r="K74" s="3"/>
      <c r="L74" s="5" t="b">
        <f aca="false">FALSE()</f>
        <v>0</v>
      </c>
      <c r="M74" s="5" t="b">
        <f aca="false">FALSE()</f>
        <v>0</v>
      </c>
      <c r="N74" s="6"/>
      <c r="O74" s="6"/>
      <c r="P74" s="2" t="s">
        <v>457</v>
      </c>
      <c r="Q74" s="4" t="s">
        <v>458</v>
      </c>
      <c r="R74" s="3" t="s">
        <v>114</v>
      </c>
    </row>
    <row r="75" customFormat="false" ht="15" hidden="false" customHeight="false" outlineLevel="0" collapsed="false">
      <c r="A75" s="2" t="s">
        <v>459</v>
      </c>
      <c r="B75" s="3" t="s">
        <v>460</v>
      </c>
      <c r="C75" s="3" t="s">
        <v>447</v>
      </c>
      <c r="D75" s="3" t="s">
        <v>72</v>
      </c>
      <c r="E75" s="3" t="s">
        <v>292</v>
      </c>
      <c r="F75" s="3" t="s">
        <v>461</v>
      </c>
      <c r="G75" s="2" t="s">
        <v>249</v>
      </c>
      <c r="H75" s="4" t="s">
        <v>462</v>
      </c>
      <c r="I75" s="3" t="s">
        <v>25</v>
      </c>
      <c r="J75" s="3" t="s">
        <v>463</v>
      </c>
      <c r="K75" s="3"/>
      <c r="L75" s="5" t="b">
        <f aca="false">FALSE()</f>
        <v>0</v>
      </c>
      <c r="M75" s="5" t="b">
        <f aca="false">FALSE()</f>
        <v>0</v>
      </c>
      <c r="N75" s="6"/>
      <c r="O75" s="6"/>
      <c r="P75" s="2" t="s">
        <v>464</v>
      </c>
      <c r="Q75" s="4" t="s">
        <v>465</v>
      </c>
      <c r="R75" s="3" t="s">
        <v>114</v>
      </c>
    </row>
    <row r="76" customFormat="false" ht="15" hidden="false" customHeight="false" outlineLevel="0" collapsed="false">
      <c r="A76" s="2" t="s">
        <v>466</v>
      </c>
      <c r="B76" s="3" t="s">
        <v>467</v>
      </c>
      <c r="C76" s="3" t="s">
        <v>447</v>
      </c>
      <c r="D76" s="3" t="s">
        <v>40</v>
      </c>
      <c r="E76" s="3"/>
      <c r="F76" s="3"/>
      <c r="G76" s="2"/>
      <c r="H76" s="4" t="s">
        <v>468</v>
      </c>
      <c r="I76" s="7" t="s">
        <v>42</v>
      </c>
      <c r="J76" s="3"/>
      <c r="K76" s="3"/>
      <c r="L76" s="5" t="b">
        <f aca="false">FALSE()</f>
        <v>0</v>
      </c>
      <c r="M76" s="5" t="b">
        <f aca="false">FALSE()</f>
        <v>0</v>
      </c>
      <c r="N76" s="6"/>
      <c r="O76" s="6"/>
      <c r="P76" s="2"/>
      <c r="Q76" s="4" t="s">
        <v>43</v>
      </c>
      <c r="R76" s="3"/>
    </row>
    <row r="77" customFormat="false" ht="15" hidden="false" customHeight="false" outlineLevel="0" collapsed="false">
      <c r="A77" s="2" t="s">
        <v>469</v>
      </c>
      <c r="B77" s="3" t="s">
        <v>470</v>
      </c>
      <c r="C77" s="3" t="s">
        <v>447</v>
      </c>
      <c r="D77" s="3" t="s">
        <v>40</v>
      </c>
      <c r="E77" s="3"/>
      <c r="F77" s="3"/>
      <c r="G77" s="2"/>
      <c r="H77" s="4" t="s">
        <v>471</v>
      </c>
      <c r="I77" s="8" t="s">
        <v>74</v>
      </c>
      <c r="J77" s="3"/>
      <c r="K77" s="3"/>
      <c r="L77" s="5" t="b">
        <f aca="false">FALSE()</f>
        <v>0</v>
      </c>
      <c r="M77" s="5" t="b">
        <f aca="false">FALSE()</f>
        <v>0</v>
      </c>
      <c r="N77" s="6"/>
      <c r="O77" s="6"/>
      <c r="P77" s="2"/>
      <c r="Q77" s="4" t="s">
        <v>43</v>
      </c>
      <c r="R77" s="3"/>
    </row>
    <row r="78" customFormat="false" ht="15" hidden="false" customHeight="false" outlineLevel="0" collapsed="false">
      <c r="A78" s="2" t="s">
        <v>472</v>
      </c>
      <c r="B78" s="3" t="s">
        <v>473</v>
      </c>
      <c r="C78" s="3" t="s">
        <v>474</v>
      </c>
      <c r="D78" s="3"/>
      <c r="E78" s="3"/>
      <c r="F78" s="3"/>
      <c r="G78" s="2"/>
      <c r="H78" s="3"/>
      <c r="I78" s="8" t="s">
        <v>50</v>
      </c>
      <c r="J78" s="3"/>
      <c r="K78" s="3"/>
      <c r="L78" s="5" t="b">
        <f aca="false">FALSE()</f>
        <v>0</v>
      </c>
      <c r="M78" s="5" t="b">
        <f aca="false">FALSE()</f>
        <v>0</v>
      </c>
      <c r="N78" s="6"/>
      <c r="O78" s="6"/>
      <c r="P78" s="2" t="s">
        <v>475</v>
      </c>
      <c r="Q78" s="4" t="s">
        <v>316</v>
      </c>
      <c r="R78" s="3"/>
    </row>
    <row r="79" customFormat="false" ht="15" hidden="false" customHeight="false" outlineLevel="0" collapsed="false">
      <c r="A79" s="2" t="s">
        <v>476</v>
      </c>
      <c r="B79" s="3" t="s">
        <v>477</v>
      </c>
      <c r="C79" s="3" t="s">
        <v>474</v>
      </c>
      <c r="D79" s="3"/>
      <c r="E79" s="3" t="s">
        <v>478</v>
      </c>
      <c r="F79" s="3" t="s">
        <v>479</v>
      </c>
      <c r="G79" s="2" t="s">
        <v>281</v>
      </c>
      <c r="H79" s="4" t="s">
        <v>480</v>
      </c>
      <c r="I79" s="3" t="s">
        <v>25</v>
      </c>
      <c r="J79" s="3" t="s">
        <v>481</v>
      </c>
      <c r="K79" s="3"/>
      <c r="L79" s="5" t="b">
        <f aca="false">FALSE()</f>
        <v>0</v>
      </c>
      <c r="M79" s="5" t="b">
        <f aca="false">FALSE()</f>
        <v>0</v>
      </c>
      <c r="N79" s="6"/>
      <c r="O79" s="6"/>
      <c r="P79" s="2"/>
      <c r="Q79" s="4" t="s">
        <v>131</v>
      </c>
      <c r="R79" s="3" t="s">
        <v>132</v>
      </c>
    </row>
    <row r="80" customFormat="false" ht="15" hidden="false" customHeight="false" outlineLevel="0" collapsed="false">
      <c r="A80" s="2" t="s">
        <v>482</v>
      </c>
      <c r="B80" s="3" t="s">
        <v>483</v>
      </c>
      <c r="C80" s="3" t="s">
        <v>474</v>
      </c>
      <c r="D80" s="3" t="s">
        <v>72</v>
      </c>
      <c r="E80" s="3"/>
      <c r="F80" s="3"/>
      <c r="G80" s="2"/>
      <c r="H80" s="4" t="s">
        <v>484</v>
      </c>
      <c r="I80" s="7" t="s">
        <v>42</v>
      </c>
      <c r="J80" s="3"/>
      <c r="K80" s="3"/>
      <c r="L80" s="5" t="b">
        <f aca="false">FALSE()</f>
        <v>0</v>
      </c>
      <c r="M80" s="5" t="b">
        <f aca="false">FALSE()</f>
        <v>0</v>
      </c>
      <c r="N80" s="6"/>
      <c r="O80" s="6"/>
      <c r="P80" s="2" t="s">
        <v>485</v>
      </c>
      <c r="Q80" s="4" t="s">
        <v>486</v>
      </c>
      <c r="R80" s="3" t="s">
        <v>114</v>
      </c>
    </row>
    <row r="81" customFormat="false" ht="15" hidden="false" customHeight="false" outlineLevel="0" collapsed="false">
      <c r="A81" s="2" t="s">
        <v>487</v>
      </c>
      <c r="B81" s="3" t="s">
        <v>488</v>
      </c>
      <c r="C81" s="3" t="s">
        <v>489</v>
      </c>
      <c r="D81" s="3"/>
      <c r="E81" s="3"/>
      <c r="F81" s="3"/>
      <c r="G81" s="2"/>
      <c r="H81" s="3"/>
      <c r="I81" s="8" t="s">
        <v>50</v>
      </c>
      <c r="J81" s="3"/>
      <c r="K81" s="3"/>
      <c r="L81" s="5" t="b">
        <f aca="false">FALSE()</f>
        <v>0</v>
      </c>
      <c r="M81" s="5" t="b">
        <f aca="false">FALSE()</f>
        <v>0</v>
      </c>
      <c r="N81" s="6"/>
      <c r="O81" s="6"/>
      <c r="P81" s="2" t="s">
        <v>490</v>
      </c>
      <c r="Q81" s="4" t="s">
        <v>227</v>
      </c>
      <c r="R81" s="3"/>
    </row>
    <row r="82" customFormat="false" ht="23.85" hidden="false" customHeight="false" outlineLevel="0" collapsed="false">
      <c r="A82" s="2" t="s">
        <v>491</v>
      </c>
      <c r="B82" s="3" t="s">
        <v>492</v>
      </c>
      <c r="C82" s="3" t="s">
        <v>489</v>
      </c>
      <c r="D82" s="3" t="s">
        <v>72</v>
      </c>
      <c r="E82" s="3" t="s">
        <v>493</v>
      </c>
      <c r="F82" s="3" t="s">
        <v>494</v>
      </c>
      <c r="G82" s="2" t="s">
        <v>249</v>
      </c>
      <c r="H82" s="3"/>
      <c r="I82" s="8" t="s">
        <v>50</v>
      </c>
      <c r="J82" s="3"/>
      <c r="K82" s="3"/>
      <c r="L82" s="5" t="b">
        <f aca="false">FALSE()</f>
        <v>0</v>
      </c>
      <c r="M82" s="5" t="b">
        <f aca="false">FALSE()</f>
        <v>0</v>
      </c>
      <c r="N82" s="6"/>
      <c r="O82" s="6"/>
      <c r="P82" s="2" t="s">
        <v>495</v>
      </c>
      <c r="Q82" s="4" t="s">
        <v>496</v>
      </c>
      <c r="R82" s="3" t="s">
        <v>389</v>
      </c>
    </row>
    <row r="83" customFormat="false" ht="23.85" hidden="false" customHeight="false" outlineLevel="0" collapsed="false">
      <c r="A83" s="2" t="s">
        <v>497</v>
      </c>
      <c r="B83" s="3" t="s">
        <v>498</v>
      </c>
      <c r="C83" s="3" t="s">
        <v>499</v>
      </c>
      <c r="D83" s="3" t="s">
        <v>500</v>
      </c>
      <c r="E83" s="3" t="s">
        <v>501</v>
      </c>
      <c r="F83" s="3" t="s">
        <v>502</v>
      </c>
      <c r="G83" s="2" t="s">
        <v>503</v>
      </c>
      <c r="H83" s="4" t="s">
        <v>504</v>
      </c>
      <c r="I83" s="3" t="s">
        <v>25</v>
      </c>
      <c r="J83" s="3"/>
      <c r="K83" s="3"/>
      <c r="L83" s="5" t="b">
        <f aca="false">FALSE()</f>
        <v>0</v>
      </c>
      <c r="M83" s="5" t="b">
        <f aca="false">FALSE()</f>
        <v>0</v>
      </c>
      <c r="N83" s="6"/>
      <c r="O83" s="6"/>
      <c r="P83" s="2" t="s">
        <v>505</v>
      </c>
      <c r="Q83" s="4" t="s">
        <v>506</v>
      </c>
      <c r="R83" s="3" t="s">
        <v>114</v>
      </c>
    </row>
    <row r="84" customFormat="false" ht="23.85" hidden="false" customHeight="false" outlineLevel="0" collapsed="false">
      <c r="A84" s="2" t="s">
        <v>507</v>
      </c>
      <c r="B84" s="3" t="s">
        <v>508</v>
      </c>
      <c r="C84" s="3" t="s">
        <v>499</v>
      </c>
      <c r="D84" s="3"/>
      <c r="E84" s="3" t="s">
        <v>509</v>
      </c>
      <c r="F84" s="3" t="s">
        <v>510</v>
      </c>
      <c r="G84" s="2" t="s">
        <v>92</v>
      </c>
      <c r="H84" s="3"/>
      <c r="I84" s="8" t="s">
        <v>50</v>
      </c>
      <c r="J84" s="3"/>
      <c r="K84" s="3"/>
      <c r="L84" s="5" t="b">
        <f aca="false">FALSE()</f>
        <v>0</v>
      </c>
      <c r="M84" s="5" t="b">
        <f aca="false">FALSE()</f>
        <v>0</v>
      </c>
      <c r="N84" s="6"/>
      <c r="O84" s="6"/>
      <c r="P84" s="2" t="s">
        <v>511</v>
      </c>
      <c r="Q84" s="4" t="s">
        <v>512</v>
      </c>
      <c r="R84" s="3"/>
    </row>
    <row r="85" customFormat="false" ht="15" hidden="false" customHeight="false" outlineLevel="0" collapsed="false">
      <c r="A85" s="2" t="s">
        <v>513</v>
      </c>
      <c r="B85" s="3" t="s">
        <v>514</v>
      </c>
      <c r="C85" s="3" t="s">
        <v>499</v>
      </c>
      <c r="D85" s="3" t="s">
        <v>72</v>
      </c>
      <c r="E85" s="3" t="s">
        <v>515</v>
      </c>
      <c r="F85" s="3" t="s">
        <v>516</v>
      </c>
      <c r="G85" s="2" t="s">
        <v>517</v>
      </c>
      <c r="H85" s="4" t="s">
        <v>518</v>
      </c>
      <c r="I85" s="3" t="s">
        <v>25</v>
      </c>
      <c r="J85" s="3" t="s">
        <v>519</v>
      </c>
      <c r="K85" s="3"/>
      <c r="L85" s="5" t="b">
        <f aca="false">FALSE()</f>
        <v>0</v>
      </c>
      <c r="M85" s="5" t="b">
        <f aca="false">FALSE()</f>
        <v>0</v>
      </c>
      <c r="N85" s="6"/>
      <c r="O85" s="6"/>
      <c r="P85" s="2" t="s">
        <v>520</v>
      </c>
      <c r="Q85" s="4" t="s">
        <v>131</v>
      </c>
      <c r="R85" s="3" t="s">
        <v>132</v>
      </c>
    </row>
    <row r="86" customFormat="false" ht="15" hidden="false" customHeight="false" outlineLevel="0" collapsed="false">
      <c r="A86" s="2" t="s">
        <v>521</v>
      </c>
      <c r="B86" s="3" t="s">
        <v>522</v>
      </c>
      <c r="C86" s="3" t="s">
        <v>499</v>
      </c>
      <c r="D86" s="3" t="s">
        <v>72</v>
      </c>
      <c r="E86" s="3" t="s">
        <v>523</v>
      </c>
      <c r="F86" s="3" t="s">
        <v>524</v>
      </c>
      <c r="G86" s="2" t="s">
        <v>268</v>
      </c>
      <c r="H86" s="4" t="s">
        <v>525</v>
      </c>
      <c r="I86" s="8" t="s">
        <v>74</v>
      </c>
      <c r="J86" s="3" t="s">
        <v>526</v>
      </c>
      <c r="K86" s="3"/>
      <c r="L86" s="5" t="b">
        <f aca="false">FALSE()</f>
        <v>0</v>
      </c>
      <c r="M86" s="5" t="b">
        <f aca="false">FALSE()</f>
        <v>0</v>
      </c>
      <c r="N86" s="6"/>
      <c r="O86" s="6"/>
      <c r="P86" s="2" t="s">
        <v>527</v>
      </c>
      <c r="Q86" s="4" t="s">
        <v>528</v>
      </c>
      <c r="R86" s="3"/>
    </row>
    <row r="87" customFormat="false" ht="23.85" hidden="false" customHeight="false" outlineLevel="0" collapsed="false">
      <c r="A87" s="2" t="s">
        <v>529</v>
      </c>
      <c r="B87" s="3" t="s">
        <v>530</v>
      </c>
      <c r="C87" s="3" t="s">
        <v>499</v>
      </c>
      <c r="D87" s="3" t="s">
        <v>188</v>
      </c>
      <c r="E87" s="3"/>
      <c r="F87" s="3"/>
      <c r="G87" s="2"/>
      <c r="H87" s="3"/>
      <c r="I87" s="8" t="s">
        <v>50</v>
      </c>
      <c r="J87" s="3"/>
      <c r="K87" s="3"/>
      <c r="L87" s="5" t="b">
        <f aca="false">FALSE()</f>
        <v>0</v>
      </c>
      <c r="M87" s="5" t="b">
        <f aca="false">FALSE()</f>
        <v>0</v>
      </c>
      <c r="N87" s="6"/>
      <c r="O87" s="6"/>
      <c r="P87" s="2" t="s">
        <v>531</v>
      </c>
      <c r="Q87" s="4" t="s">
        <v>161</v>
      </c>
      <c r="R87" s="3"/>
    </row>
    <row r="88" customFormat="false" ht="23.85" hidden="false" customHeight="false" outlineLevel="0" collapsed="false">
      <c r="A88" s="2" t="s">
        <v>532</v>
      </c>
      <c r="B88" s="3" t="s">
        <v>533</v>
      </c>
      <c r="C88" s="3" t="s">
        <v>499</v>
      </c>
      <c r="D88" s="3" t="s">
        <v>72</v>
      </c>
      <c r="E88" s="3" t="s">
        <v>273</v>
      </c>
      <c r="F88" s="3" t="s">
        <v>534</v>
      </c>
      <c r="G88" s="2" t="s">
        <v>249</v>
      </c>
      <c r="H88" s="4" t="s">
        <v>535</v>
      </c>
      <c r="I88" s="7" t="s">
        <v>42</v>
      </c>
      <c r="J88" s="3"/>
      <c r="K88" s="3"/>
      <c r="L88" s="5" t="b">
        <f aca="false">FALSE()</f>
        <v>0</v>
      </c>
      <c r="M88" s="5" t="b">
        <f aca="false">FALSE()</f>
        <v>0</v>
      </c>
      <c r="N88" s="6"/>
      <c r="O88" s="6"/>
      <c r="P88" s="2" t="s">
        <v>536</v>
      </c>
      <c r="Q88" s="4" t="s">
        <v>537</v>
      </c>
      <c r="R88" s="3"/>
    </row>
    <row r="89" customFormat="false" ht="23.85" hidden="false" customHeight="false" outlineLevel="0" collapsed="false">
      <c r="A89" s="2" t="s">
        <v>538</v>
      </c>
      <c r="B89" s="3" t="s">
        <v>539</v>
      </c>
      <c r="C89" s="3" t="s">
        <v>540</v>
      </c>
      <c r="D89" s="3" t="s">
        <v>72</v>
      </c>
      <c r="E89" s="3"/>
      <c r="F89" s="3"/>
      <c r="G89" s="2"/>
      <c r="H89" s="3"/>
      <c r="I89" s="8" t="s">
        <v>50</v>
      </c>
      <c r="J89" s="3"/>
      <c r="K89" s="3"/>
      <c r="L89" s="5" t="b">
        <f aca="false">FALSE()</f>
        <v>0</v>
      </c>
      <c r="M89" s="5" t="b">
        <f aca="false">FALSE()</f>
        <v>0</v>
      </c>
      <c r="N89" s="6"/>
      <c r="O89" s="6"/>
      <c r="P89" s="2" t="s">
        <v>541</v>
      </c>
      <c r="Q89" s="4" t="s">
        <v>542</v>
      </c>
      <c r="R89" s="3" t="s">
        <v>86</v>
      </c>
    </row>
    <row r="90" customFormat="false" ht="15" hidden="false" customHeight="false" outlineLevel="0" collapsed="false">
      <c r="A90" s="2" t="s">
        <v>543</v>
      </c>
      <c r="B90" s="3" t="s">
        <v>544</v>
      </c>
      <c r="C90" s="3" t="s">
        <v>540</v>
      </c>
      <c r="D90" s="3"/>
      <c r="E90" s="3" t="s">
        <v>273</v>
      </c>
      <c r="F90" s="3" t="s">
        <v>545</v>
      </c>
      <c r="G90" s="2" t="s">
        <v>281</v>
      </c>
      <c r="H90" s="4" t="s">
        <v>546</v>
      </c>
      <c r="I90" s="3" t="s">
        <v>25</v>
      </c>
      <c r="J90" s="3" t="s">
        <v>547</v>
      </c>
      <c r="K90" s="3"/>
      <c r="L90" s="5" t="b">
        <f aca="false">FALSE()</f>
        <v>0</v>
      </c>
      <c r="M90" s="5" t="b">
        <f aca="false">FALSE()</f>
        <v>0</v>
      </c>
      <c r="N90" s="6"/>
      <c r="O90" s="6"/>
      <c r="P90" s="2"/>
      <c r="Q90" s="4" t="s">
        <v>131</v>
      </c>
      <c r="R90" s="3" t="s">
        <v>132</v>
      </c>
    </row>
    <row r="91" customFormat="false" ht="23.85" hidden="false" customHeight="false" outlineLevel="0" collapsed="false">
      <c r="A91" s="2" t="s">
        <v>548</v>
      </c>
      <c r="B91" s="3" t="s">
        <v>549</v>
      </c>
      <c r="C91" s="3" t="s">
        <v>540</v>
      </c>
      <c r="D91" s="3" t="s">
        <v>188</v>
      </c>
      <c r="E91" s="3" t="s">
        <v>413</v>
      </c>
      <c r="F91" s="3" t="s">
        <v>550</v>
      </c>
      <c r="G91" s="2" t="s">
        <v>249</v>
      </c>
      <c r="H91" s="4" t="s">
        <v>551</v>
      </c>
      <c r="I91" s="3" t="s">
        <v>25</v>
      </c>
      <c r="J91" s="3" t="s">
        <v>552</v>
      </c>
      <c r="K91" s="3"/>
      <c r="L91" s="5" t="b">
        <f aca="false">FALSE()</f>
        <v>0</v>
      </c>
      <c r="M91" s="5" t="b">
        <f aca="false">FALSE()</f>
        <v>0</v>
      </c>
      <c r="N91" s="6"/>
      <c r="O91" s="6"/>
      <c r="P91" s="2" t="s">
        <v>553</v>
      </c>
      <c r="Q91" s="4" t="s">
        <v>554</v>
      </c>
      <c r="R91" s="3" t="s">
        <v>86</v>
      </c>
    </row>
    <row r="92" customFormat="false" ht="23.85" hidden="false" customHeight="false" outlineLevel="0" collapsed="false">
      <c r="A92" s="2" t="s">
        <v>555</v>
      </c>
      <c r="B92" s="3" t="s">
        <v>556</v>
      </c>
      <c r="C92" s="3" t="s">
        <v>540</v>
      </c>
      <c r="D92" s="3" t="s">
        <v>72</v>
      </c>
      <c r="E92" s="3"/>
      <c r="F92" s="3"/>
      <c r="G92" s="2"/>
      <c r="H92" s="3"/>
      <c r="I92" s="8" t="s">
        <v>50</v>
      </c>
      <c r="J92" s="3"/>
      <c r="K92" s="3"/>
      <c r="L92" s="5" t="b">
        <f aca="false">FALSE()</f>
        <v>0</v>
      </c>
      <c r="M92" s="5" t="b">
        <f aca="false">FALSE()</f>
        <v>0</v>
      </c>
      <c r="N92" s="6"/>
      <c r="O92" s="6"/>
      <c r="P92" s="2" t="s">
        <v>557</v>
      </c>
      <c r="Q92" s="4" t="s">
        <v>558</v>
      </c>
      <c r="R92" s="3"/>
    </row>
    <row r="93" customFormat="false" ht="15" hidden="false" customHeight="false" outlineLevel="0" collapsed="false">
      <c r="A93" s="2" t="s">
        <v>559</v>
      </c>
      <c r="B93" s="3" t="s">
        <v>560</v>
      </c>
      <c r="C93" s="3" t="s">
        <v>540</v>
      </c>
      <c r="D93" s="3" t="s">
        <v>40</v>
      </c>
      <c r="E93" s="3"/>
      <c r="F93" s="3"/>
      <c r="G93" s="2"/>
      <c r="H93" s="3"/>
      <c r="I93" s="8" t="s">
        <v>50</v>
      </c>
      <c r="J93" s="3"/>
      <c r="K93" s="3"/>
      <c r="L93" s="5" t="b">
        <f aca="false">FALSE()</f>
        <v>0</v>
      </c>
      <c r="M93" s="5" t="b">
        <f aca="false">FALSE()</f>
        <v>0</v>
      </c>
      <c r="N93" s="6"/>
      <c r="O93" s="6"/>
      <c r="P93" s="2" t="s">
        <v>561</v>
      </c>
      <c r="Q93" s="4" t="s">
        <v>381</v>
      </c>
      <c r="R93" s="3"/>
    </row>
    <row r="94" customFormat="false" ht="15" hidden="false" customHeight="false" outlineLevel="0" collapsed="false">
      <c r="A94" s="2" t="s">
        <v>562</v>
      </c>
      <c r="B94" s="3" t="s">
        <v>563</v>
      </c>
      <c r="C94" s="3" t="s">
        <v>540</v>
      </c>
      <c r="D94" s="3" t="s">
        <v>72</v>
      </c>
      <c r="E94" s="3" t="s">
        <v>564</v>
      </c>
      <c r="F94" s="3" t="s">
        <v>565</v>
      </c>
      <c r="G94" s="2" t="s">
        <v>33</v>
      </c>
      <c r="H94" s="4" t="s">
        <v>566</v>
      </c>
      <c r="I94" s="3" t="s">
        <v>25</v>
      </c>
      <c r="J94" s="3"/>
      <c r="K94" s="3"/>
      <c r="L94" s="5" t="b">
        <f aca="false">FALSE()</f>
        <v>0</v>
      </c>
      <c r="M94" s="5" t="b">
        <f aca="false">FALSE()</f>
        <v>0</v>
      </c>
      <c r="N94" s="6"/>
      <c r="O94" s="6"/>
      <c r="P94" s="2" t="s">
        <v>567</v>
      </c>
      <c r="Q94" s="4" t="s">
        <v>568</v>
      </c>
      <c r="R94" s="3" t="s">
        <v>132</v>
      </c>
    </row>
    <row r="95" customFormat="false" ht="15" hidden="false" customHeight="false" outlineLevel="0" collapsed="false">
      <c r="A95" s="2" t="s">
        <v>569</v>
      </c>
      <c r="B95" s="3" t="s">
        <v>570</v>
      </c>
      <c r="C95" s="3" t="s">
        <v>540</v>
      </c>
      <c r="D95" s="3"/>
      <c r="E95" s="3"/>
      <c r="F95" s="3"/>
      <c r="G95" s="2"/>
      <c r="H95" s="3"/>
      <c r="I95" s="8" t="s">
        <v>50</v>
      </c>
      <c r="J95" s="3"/>
      <c r="K95" s="3"/>
      <c r="L95" s="5" t="b">
        <f aca="false">FALSE()</f>
        <v>0</v>
      </c>
      <c r="M95" s="5" t="b">
        <f aca="false">FALSE()</f>
        <v>0</v>
      </c>
      <c r="N95" s="6"/>
      <c r="O95" s="6"/>
      <c r="P95" s="2" t="s">
        <v>571</v>
      </c>
      <c r="Q95" s="4" t="s">
        <v>153</v>
      </c>
      <c r="R95" s="3"/>
    </row>
    <row r="96" customFormat="false" ht="15" hidden="false" customHeight="false" outlineLevel="0" collapsed="false">
      <c r="A96" s="2" t="s">
        <v>572</v>
      </c>
      <c r="B96" s="3" t="s">
        <v>573</v>
      </c>
      <c r="C96" s="3" t="s">
        <v>540</v>
      </c>
      <c r="D96" s="3" t="s">
        <v>574</v>
      </c>
      <c r="E96" s="3"/>
      <c r="F96" s="3"/>
      <c r="G96" s="2"/>
      <c r="H96" s="4" t="s">
        <v>575</v>
      </c>
      <c r="I96" s="8" t="s">
        <v>74</v>
      </c>
      <c r="J96" s="3"/>
      <c r="K96" s="3"/>
      <c r="L96" s="5" t="b">
        <f aca="false">FALSE()</f>
        <v>0</v>
      </c>
      <c r="M96" s="5" t="b">
        <f aca="false">FALSE()</f>
        <v>0</v>
      </c>
      <c r="N96" s="6"/>
      <c r="O96" s="6"/>
      <c r="P96" s="2" t="s">
        <v>576</v>
      </c>
      <c r="Q96" s="4" t="s">
        <v>577</v>
      </c>
      <c r="R96" s="3" t="s">
        <v>86</v>
      </c>
    </row>
    <row r="97" customFormat="false" ht="15" hidden="false" customHeight="false" outlineLevel="0" collapsed="false">
      <c r="A97" s="2" t="s">
        <v>578</v>
      </c>
      <c r="B97" s="3" t="s">
        <v>579</v>
      </c>
      <c r="C97" s="3" t="s">
        <v>540</v>
      </c>
      <c r="D97" s="3" t="s">
        <v>72</v>
      </c>
      <c r="E97" s="3" t="s">
        <v>580</v>
      </c>
      <c r="F97" s="3" t="s">
        <v>581</v>
      </c>
      <c r="G97" s="2" t="s">
        <v>249</v>
      </c>
      <c r="H97" s="4" t="s">
        <v>582</v>
      </c>
      <c r="I97" s="3" t="s">
        <v>25</v>
      </c>
      <c r="J97" s="3" t="s">
        <v>583</v>
      </c>
      <c r="K97" s="3"/>
      <c r="L97" s="5" t="b">
        <f aca="false">FALSE()</f>
        <v>0</v>
      </c>
      <c r="M97" s="5" t="b">
        <f aca="false">FALSE()</f>
        <v>0</v>
      </c>
      <c r="N97" s="6"/>
      <c r="O97" s="6"/>
      <c r="P97" s="2"/>
      <c r="Q97" s="4" t="s">
        <v>131</v>
      </c>
      <c r="R97" s="3" t="s">
        <v>132</v>
      </c>
    </row>
    <row r="98" customFormat="false" ht="23.85" hidden="false" customHeight="false" outlineLevel="0" collapsed="false">
      <c r="A98" s="2" t="s">
        <v>584</v>
      </c>
      <c r="B98" s="3" t="s">
        <v>585</v>
      </c>
      <c r="C98" s="3" t="s">
        <v>586</v>
      </c>
      <c r="D98" s="3" t="s">
        <v>72</v>
      </c>
      <c r="E98" s="3" t="s">
        <v>587</v>
      </c>
      <c r="F98" s="3" t="s">
        <v>588</v>
      </c>
      <c r="G98" s="2" t="s">
        <v>281</v>
      </c>
      <c r="H98" s="3"/>
      <c r="I98" s="8" t="s">
        <v>50</v>
      </c>
      <c r="J98" s="3"/>
      <c r="K98" s="3"/>
      <c r="L98" s="5" t="b">
        <f aca="false">FALSE()</f>
        <v>0</v>
      </c>
      <c r="M98" s="5" t="b">
        <f aca="false">FALSE()</f>
        <v>0</v>
      </c>
      <c r="N98" s="6"/>
      <c r="O98" s="6"/>
      <c r="P98" s="2" t="s">
        <v>589</v>
      </c>
      <c r="Q98" s="4" t="s">
        <v>590</v>
      </c>
      <c r="R98" s="3" t="s">
        <v>591</v>
      </c>
    </row>
    <row r="99" customFormat="false" ht="15" hidden="false" customHeight="false" outlineLevel="0" collapsed="false">
      <c r="A99" s="2" t="s">
        <v>592</v>
      </c>
      <c r="B99" s="3" t="s">
        <v>593</v>
      </c>
      <c r="C99" s="3" t="s">
        <v>586</v>
      </c>
      <c r="D99" s="3" t="s">
        <v>72</v>
      </c>
      <c r="E99" s="3"/>
      <c r="F99" s="3"/>
      <c r="G99" s="2"/>
      <c r="H99" s="4" t="s">
        <v>594</v>
      </c>
      <c r="I99" s="8" t="s">
        <v>74</v>
      </c>
      <c r="J99" s="3"/>
      <c r="K99" s="3"/>
      <c r="L99" s="5" t="b">
        <f aca="false">FALSE()</f>
        <v>0</v>
      </c>
      <c r="M99" s="5" t="b">
        <f aca="false">FALSE()</f>
        <v>0</v>
      </c>
      <c r="N99" s="6"/>
      <c r="O99" s="6"/>
      <c r="P99" s="2"/>
      <c r="Q99" s="4" t="s">
        <v>595</v>
      </c>
      <c r="R99" s="3"/>
    </row>
    <row r="100" customFormat="false" ht="15" hidden="false" customHeight="false" outlineLevel="0" collapsed="false">
      <c r="A100" s="2" t="s">
        <v>596</v>
      </c>
      <c r="B100" s="3" t="s">
        <v>597</v>
      </c>
      <c r="C100" s="3" t="s">
        <v>598</v>
      </c>
      <c r="D100" s="3" t="s">
        <v>72</v>
      </c>
      <c r="E100" s="3"/>
      <c r="F100" s="3"/>
      <c r="G100" s="2"/>
      <c r="H100" s="3"/>
      <c r="I100" s="8" t="s">
        <v>50</v>
      </c>
      <c r="J100" s="3"/>
      <c r="K100" s="3"/>
      <c r="L100" s="5" t="b">
        <f aca="false">FALSE()</f>
        <v>0</v>
      </c>
      <c r="M100" s="5" t="b">
        <f aca="false">FALSE()</f>
        <v>0</v>
      </c>
      <c r="N100" s="6"/>
      <c r="O100" s="6"/>
      <c r="P100" s="2" t="s">
        <v>599</v>
      </c>
      <c r="Q100" s="4" t="s">
        <v>366</v>
      </c>
      <c r="R100" s="3"/>
    </row>
    <row r="101" customFormat="false" ht="15" hidden="false" customHeight="false" outlineLevel="0" collapsed="false">
      <c r="A101" s="2" t="s">
        <v>600</v>
      </c>
      <c r="B101" s="3" t="s">
        <v>601</v>
      </c>
      <c r="C101" s="3" t="s">
        <v>598</v>
      </c>
      <c r="D101" s="3" t="s">
        <v>72</v>
      </c>
      <c r="E101" s="3"/>
      <c r="F101" s="3"/>
      <c r="G101" s="2"/>
      <c r="H101" s="4" t="s">
        <v>602</v>
      </c>
      <c r="I101" s="7" t="s">
        <v>42</v>
      </c>
      <c r="J101" s="3"/>
      <c r="K101" s="3"/>
      <c r="L101" s="5" t="b">
        <f aca="false">FALSE()</f>
        <v>0</v>
      </c>
      <c r="M101" s="5" t="b">
        <f aca="false">FALSE()</f>
        <v>0</v>
      </c>
      <c r="N101" s="6"/>
      <c r="O101" s="6"/>
      <c r="P101" s="2"/>
      <c r="Q101" s="4" t="s">
        <v>603</v>
      </c>
      <c r="R101" s="3"/>
    </row>
    <row r="102" customFormat="false" ht="23.85" hidden="false" customHeight="false" outlineLevel="0" collapsed="false">
      <c r="A102" s="2" t="s">
        <v>604</v>
      </c>
      <c r="B102" s="3" t="s">
        <v>605</v>
      </c>
      <c r="C102" s="3" t="s">
        <v>598</v>
      </c>
      <c r="D102" s="3" t="s">
        <v>606</v>
      </c>
      <c r="E102" s="3" t="s">
        <v>607</v>
      </c>
      <c r="F102" s="3" t="s">
        <v>243</v>
      </c>
      <c r="G102" s="2" t="s">
        <v>281</v>
      </c>
      <c r="H102" s="3"/>
      <c r="I102" s="8" t="s">
        <v>50</v>
      </c>
      <c r="J102" s="3"/>
      <c r="K102" s="3"/>
      <c r="L102" s="5" t="b">
        <f aca="false">FALSE()</f>
        <v>0</v>
      </c>
      <c r="M102" s="5" t="b">
        <f aca="false">FALSE()</f>
        <v>0</v>
      </c>
      <c r="N102" s="6"/>
      <c r="O102" s="6"/>
      <c r="P102" s="2" t="s">
        <v>608</v>
      </c>
      <c r="Q102" s="4" t="s">
        <v>609</v>
      </c>
      <c r="R102" s="3" t="s">
        <v>132</v>
      </c>
    </row>
    <row r="103" customFormat="false" ht="15" hidden="false" customHeight="false" outlineLevel="0" collapsed="false">
      <c r="A103" s="2" t="s">
        <v>610</v>
      </c>
      <c r="B103" s="3" t="s">
        <v>611</v>
      </c>
      <c r="C103" s="3" t="s">
        <v>598</v>
      </c>
      <c r="D103" s="3"/>
      <c r="E103" s="3"/>
      <c r="F103" s="3"/>
      <c r="G103" s="2"/>
      <c r="H103" s="3"/>
      <c r="I103" s="8" t="s">
        <v>50</v>
      </c>
      <c r="J103" s="3"/>
      <c r="K103" s="3"/>
      <c r="L103" s="5" t="b">
        <f aca="false">FALSE()</f>
        <v>0</v>
      </c>
      <c r="M103" s="5" t="b">
        <f aca="false">FALSE()</f>
        <v>0</v>
      </c>
      <c r="N103" s="6"/>
      <c r="O103" s="6"/>
      <c r="P103" s="2" t="s">
        <v>612</v>
      </c>
      <c r="Q103" s="4" t="s">
        <v>153</v>
      </c>
      <c r="R103" s="3"/>
    </row>
    <row r="104" customFormat="false" ht="35.05" hidden="false" customHeight="false" outlineLevel="0" collapsed="false">
      <c r="A104" s="2" t="s">
        <v>613</v>
      </c>
      <c r="B104" s="3" t="s">
        <v>614</v>
      </c>
      <c r="C104" s="3" t="s">
        <v>598</v>
      </c>
      <c r="D104" s="3"/>
      <c r="E104" s="3"/>
      <c r="F104" s="3"/>
      <c r="G104" s="2"/>
      <c r="H104" s="3"/>
      <c r="I104" s="8" t="s">
        <v>50</v>
      </c>
      <c r="J104" s="3"/>
      <c r="K104" s="3"/>
      <c r="L104" s="5" t="b">
        <f aca="false">FALSE()</f>
        <v>0</v>
      </c>
      <c r="M104" s="5" t="b">
        <f aca="false">FALSE()</f>
        <v>0</v>
      </c>
      <c r="N104" s="6"/>
      <c r="O104" s="6"/>
      <c r="P104" s="2" t="s">
        <v>615</v>
      </c>
      <c r="Q104" s="4" t="s">
        <v>616</v>
      </c>
      <c r="R104" s="3" t="s">
        <v>86</v>
      </c>
    </row>
    <row r="105" customFormat="false" ht="15" hidden="false" customHeight="false" outlineLevel="0" collapsed="false">
      <c r="A105" s="2" t="s">
        <v>617</v>
      </c>
      <c r="B105" s="3" t="s">
        <v>618</v>
      </c>
      <c r="C105" s="3" t="s">
        <v>598</v>
      </c>
      <c r="D105" s="3" t="s">
        <v>72</v>
      </c>
      <c r="E105" s="3"/>
      <c r="F105" s="3"/>
      <c r="G105" s="2"/>
      <c r="H105" s="4" t="s">
        <v>619</v>
      </c>
      <c r="I105" s="8" t="s">
        <v>74</v>
      </c>
      <c r="J105" s="3"/>
      <c r="K105" s="3"/>
      <c r="L105" s="5" t="b">
        <f aca="false">FALSE()</f>
        <v>0</v>
      </c>
      <c r="M105" s="5" t="b">
        <f aca="false">FALSE()</f>
        <v>0</v>
      </c>
      <c r="N105" s="6"/>
      <c r="O105" s="6"/>
      <c r="P105" s="2" t="s">
        <v>620</v>
      </c>
      <c r="Q105" s="4" t="s">
        <v>621</v>
      </c>
      <c r="R105" s="3"/>
    </row>
    <row r="106" customFormat="false" ht="15" hidden="false" customHeight="false" outlineLevel="0" collapsed="false">
      <c r="A106" s="2" t="s">
        <v>622</v>
      </c>
      <c r="B106" s="3" t="s">
        <v>623</v>
      </c>
      <c r="C106" s="3" t="s">
        <v>624</v>
      </c>
      <c r="D106" s="3" t="s">
        <v>72</v>
      </c>
      <c r="E106" s="3"/>
      <c r="F106" s="3"/>
      <c r="G106" s="2"/>
      <c r="H106" s="4" t="s">
        <v>625</v>
      </c>
      <c r="I106" s="8" t="s">
        <v>74</v>
      </c>
      <c r="J106" s="3"/>
      <c r="K106" s="3"/>
      <c r="L106" s="5" t="b">
        <f aca="false">FALSE()</f>
        <v>0</v>
      </c>
      <c r="M106" s="5" t="b">
        <f aca="false">FALSE()</f>
        <v>0</v>
      </c>
      <c r="N106" s="6"/>
      <c r="O106" s="6"/>
      <c r="P106" s="2"/>
      <c r="Q106" s="4" t="s">
        <v>626</v>
      </c>
      <c r="R106" s="3"/>
    </row>
    <row r="107" customFormat="false" ht="23.85" hidden="false" customHeight="false" outlineLevel="0" collapsed="false">
      <c r="A107" s="2" t="s">
        <v>627</v>
      </c>
      <c r="B107" s="3" t="s">
        <v>628</v>
      </c>
      <c r="C107" s="3" t="s">
        <v>624</v>
      </c>
      <c r="D107" s="3" t="s">
        <v>72</v>
      </c>
      <c r="E107" s="3" t="s">
        <v>629</v>
      </c>
      <c r="F107" s="3" t="s">
        <v>630</v>
      </c>
      <c r="G107" s="2" t="s">
        <v>631</v>
      </c>
      <c r="H107" s="3"/>
      <c r="I107" s="8" t="s">
        <v>50</v>
      </c>
      <c r="J107" s="3"/>
      <c r="K107" s="3"/>
      <c r="L107" s="5" t="b">
        <f aca="false">FALSE()</f>
        <v>0</v>
      </c>
      <c r="M107" s="5" t="b">
        <f aca="false">FALSE()</f>
        <v>0</v>
      </c>
      <c r="N107" s="6"/>
      <c r="O107" s="6"/>
      <c r="P107" s="2" t="s">
        <v>632</v>
      </c>
      <c r="Q107" s="4" t="s">
        <v>633</v>
      </c>
      <c r="R107" s="3" t="s">
        <v>114</v>
      </c>
    </row>
    <row r="108" customFormat="false" ht="15" hidden="false" customHeight="false" outlineLevel="0" collapsed="false">
      <c r="A108" s="2" t="s">
        <v>634</v>
      </c>
      <c r="B108" s="3" t="s">
        <v>635</v>
      </c>
      <c r="C108" s="3" t="s">
        <v>624</v>
      </c>
      <c r="D108" s="3" t="s">
        <v>72</v>
      </c>
      <c r="E108" s="3"/>
      <c r="F108" s="3"/>
      <c r="G108" s="2"/>
      <c r="H108" s="4" t="s">
        <v>636</v>
      </c>
      <c r="I108" s="8" t="s">
        <v>74</v>
      </c>
      <c r="J108" s="3"/>
      <c r="K108" s="3"/>
      <c r="L108" s="5" t="b">
        <f aca="false">FALSE()</f>
        <v>0</v>
      </c>
      <c r="M108" s="5" t="b">
        <f aca="false">FALSE()</f>
        <v>0</v>
      </c>
      <c r="N108" s="6"/>
      <c r="O108" s="6"/>
      <c r="P108" s="2"/>
      <c r="Q108" s="4" t="s">
        <v>626</v>
      </c>
      <c r="R108" s="3"/>
    </row>
    <row r="109" customFormat="false" ht="15" hidden="false" customHeight="false" outlineLevel="0" collapsed="false">
      <c r="A109" s="2" t="s">
        <v>637</v>
      </c>
      <c r="B109" s="3" t="s">
        <v>638</v>
      </c>
      <c r="C109" s="3" t="s">
        <v>639</v>
      </c>
      <c r="D109" s="3" t="s">
        <v>40</v>
      </c>
      <c r="E109" s="3"/>
      <c r="F109" s="3"/>
      <c r="G109" s="2"/>
      <c r="H109" s="4" t="s">
        <v>640</v>
      </c>
      <c r="I109" s="7" t="s">
        <v>42</v>
      </c>
      <c r="J109" s="3"/>
      <c r="K109" s="3"/>
      <c r="L109" s="5" t="b">
        <f aca="false">FALSE()</f>
        <v>0</v>
      </c>
      <c r="M109" s="5" t="b">
        <f aca="false">FALSE()</f>
        <v>0</v>
      </c>
      <c r="N109" s="6"/>
      <c r="O109" s="6"/>
      <c r="P109" s="2"/>
      <c r="Q109" s="4" t="s">
        <v>43</v>
      </c>
      <c r="R109" s="3"/>
    </row>
    <row r="110" customFormat="false" ht="23.85" hidden="false" customHeight="false" outlineLevel="0" collapsed="false">
      <c r="A110" s="2" t="s">
        <v>641</v>
      </c>
      <c r="B110" s="3" t="s">
        <v>642</v>
      </c>
      <c r="C110" s="3" t="s">
        <v>639</v>
      </c>
      <c r="D110" s="3" t="s">
        <v>72</v>
      </c>
      <c r="E110" s="3"/>
      <c r="F110" s="3"/>
      <c r="G110" s="2"/>
      <c r="H110" s="4" t="s">
        <v>643</v>
      </c>
      <c r="I110" s="8" t="s">
        <v>74</v>
      </c>
      <c r="J110" s="3"/>
      <c r="K110" s="3"/>
      <c r="L110" s="5" t="b">
        <f aca="false">FALSE()</f>
        <v>0</v>
      </c>
      <c r="M110" s="5" t="b">
        <f aca="false">FALSE()</f>
        <v>0</v>
      </c>
      <c r="N110" s="6"/>
      <c r="O110" s="6"/>
      <c r="P110" s="2" t="s">
        <v>644</v>
      </c>
      <c r="Q110" s="4" t="s">
        <v>645</v>
      </c>
      <c r="R110" s="3"/>
    </row>
    <row r="111" customFormat="false" ht="15" hidden="false" customHeight="false" outlineLevel="0" collapsed="false">
      <c r="A111" s="2" t="s">
        <v>646</v>
      </c>
      <c r="B111" s="3" t="s">
        <v>647</v>
      </c>
      <c r="C111" s="3" t="s">
        <v>648</v>
      </c>
      <c r="D111" s="3" t="s">
        <v>40</v>
      </c>
      <c r="E111" s="3"/>
      <c r="F111" s="3"/>
      <c r="G111" s="2"/>
      <c r="H111" s="4" t="s">
        <v>649</v>
      </c>
      <c r="I111" s="8" t="s">
        <v>74</v>
      </c>
      <c r="J111" s="3"/>
      <c r="K111" s="3"/>
      <c r="L111" s="5" t="b">
        <f aca="false">FALSE()</f>
        <v>0</v>
      </c>
      <c r="M111" s="5" t="b">
        <f aca="false">FALSE()</f>
        <v>0</v>
      </c>
      <c r="N111" s="6"/>
      <c r="O111" s="6"/>
      <c r="P111" s="2"/>
      <c r="Q111" s="4" t="s">
        <v>43</v>
      </c>
      <c r="R111" s="3"/>
    </row>
    <row r="112" customFormat="false" ht="23.85" hidden="false" customHeight="false" outlineLevel="0" collapsed="false">
      <c r="A112" s="2" t="s">
        <v>650</v>
      </c>
      <c r="B112" s="3" t="s">
        <v>651</v>
      </c>
      <c r="C112" s="3" t="s">
        <v>652</v>
      </c>
      <c r="D112" s="3" t="s">
        <v>72</v>
      </c>
      <c r="E112" s="3" t="s">
        <v>384</v>
      </c>
      <c r="F112" s="3" t="s">
        <v>653</v>
      </c>
      <c r="G112" s="2" t="s">
        <v>92</v>
      </c>
      <c r="H112" s="3"/>
      <c r="I112" s="8" t="s">
        <v>50</v>
      </c>
      <c r="J112" s="3"/>
      <c r="K112" s="3"/>
      <c r="L112" s="5" t="b">
        <f aca="false">FALSE()</f>
        <v>0</v>
      </c>
      <c r="M112" s="5" t="b">
        <f aca="false">FALSE()</f>
        <v>0</v>
      </c>
      <c r="N112" s="6"/>
      <c r="O112" s="6"/>
      <c r="P112" s="2" t="s">
        <v>654</v>
      </c>
      <c r="Q112" s="4" t="s">
        <v>655</v>
      </c>
      <c r="R112" s="3" t="s">
        <v>591</v>
      </c>
    </row>
    <row r="113" customFormat="false" ht="15" hidden="false" customHeight="false" outlineLevel="0" collapsed="false">
      <c r="A113" s="2" t="s">
        <v>656</v>
      </c>
      <c r="B113" s="3" t="s">
        <v>657</v>
      </c>
      <c r="C113" s="3" t="s">
        <v>652</v>
      </c>
      <c r="D113" s="3" t="s">
        <v>72</v>
      </c>
      <c r="E113" s="3" t="s">
        <v>273</v>
      </c>
      <c r="F113" s="3" t="s">
        <v>658</v>
      </c>
      <c r="G113" s="2" t="s">
        <v>92</v>
      </c>
      <c r="H113" s="4" t="s">
        <v>659</v>
      </c>
      <c r="I113" s="3" t="s">
        <v>25</v>
      </c>
      <c r="J113" s="3" t="s">
        <v>660</v>
      </c>
      <c r="K113" s="3"/>
      <c r="L113" s="5" t="b">
        <f aca="false">FALSE()</f>
        <v>0</v>
      </c>
      <c r="M113" s="5" t="b">
        <f aca="false">FALSE()</f>
        <v>0</v>
      </c>
      <c r="N113" s="6"/>
      <c r="O113" s="6"/>
      <c r="P113" s="2"/>
      <c r="Q113" s="4" t="s">
        <v>661</v>
      </c>
      <c r="R113" s="3"/>
    </row>
  </sheetData>
  <autoFilter ref="A1:R113"/>
  <conditionalFormatting sqref="A2:R313">
    <cfRule type="expression" priority="2" aboveAverage="0" equalAverage="0" bottom="0" percent="0" rank="0" text="" dxfId="7">
      <formula>$M2=1</formula>
    </cfRule>
    <cfRule type="expression" priority="3" aboveAverage="0" equalAverage="0" bottom="0" percent="0" rank="0" text="" dxfId="8">
      <formula>$L2=1</formula>
    </cfRule>
  </conditionalFormatting>
  <conditionalFormatting sqref="H2:H113">
    <cfRule type="expression" priority="4" aboveAverage="0" equalAverage="0" bottom="0" percent="0" rank="0" text="" dxfId="9">
      <formula>LEN($H2)=0</formula>
    </cfRule>
  </conditionalFormatting>
  <dataValidations count="3">
    <dataValidation allowBlank="true" errorStyle="stop" operator="between" showDropDown="false" showErrorMessage="false" showInputMessage="false" sqref="L2:M313" type="list">
      <formula1>"TRUE,FALSE"</formula1>
      <formula2>0</formula2>
    </dataValidation>
    <dataValidation allowBlank="true" errorStyle="stop" operator="greaterThan" showDropDown="false" showErrorMessage="false" showInputMessage="false" sqref="N2:O313" type="date">
      <formula1>DATE(2020,1,1)</formula1>
      <formula2>0</formula2>
    </dataValidation>
    <dataValidation allowBlank="true" errorStyle="stop" operator="between" showDropDown="false" showErrorMessage="false" showInputMessage="false" sqref="I2:I313" type="list">
      <formula1>"Coach / program,General inquiry (college),Admissions staff (verify),Athletics office,None published"</formula1>
      <formula2>0</formula2>
    </dataValidation>
  </dataValidations>
  <hyperlinks>
    <hyperlink ref="H2" r:id="rId1" display="kgroce@sheltonstate.edu"/>
    <hyperlink ref="Q2" r:id="rId2" display="https://athletics.sheltonstate.edu/information/directory/bios/groce-khaleb"/>
    <hyperlink ref="H3" r:id="rId3" display="jharrison@uarichmountain.edu"/>
    <hyperlink ref="Q3" r:id="rId4" display="https://bucksathletics.prestosports.com/sports/esports/coaches/jack_harrison"/>
    <hyperlink ref="H4" r:id="rId5" display="amasterson@mohave.edu"/>
    <hyperlink ref="Q4" r:id="rId6" display="https://en.wikipedia.org/wiki/National_Association_of_Collegiate_Esports"/>
    <hyperlink ref="Q5" r:id="rId7" display="https://www.cccco.edu/About-Us/News-and-Media/ccc-outlook-newsletter-archive/ivc-coastline-esports"/>
    <hyperlink ref="Q6" r:id="rId8" display="https://productiverecruit.com/athletic-scholarships/esports/iowa/iowa-western-community-college"/>
    <hyperlink ref="Q7" r:id="rId9" display="https://www.cccco.edu/About-Us/News-and-Media/ccc-outlook-newsletter-archive/ivc-coastline-esports"/>
    <hyperlink ref="Q8" r:id="rId10" display="https://lbcc.edu/showcase-1/fans-can-catch-all-exciting-action-our-youtube-channel-lbccesports9379"/>
    <hyperlink ref="H9" r:id="rId11" display="TS.Admissions@trinidadstate.edu"/>
    <hyperlink ref="Q9" r:id="rId12" display="https://trinidadstate.edu/esports/index.html"/>
    <hyperlink ref="Q10" r:id="rId13" display="https://www.dscfalcons.com/sports/esports/coaches/sebastian_morales"/>
    <hyperlink ref="H11" r:id="rId14" display="holly.grimm@hawkeyecollege.edu"/>
    <hyperlink ref="Q11" r:id="rId15" display="https://redtailathletics.com/sports/esports/coaches/Ryan_Goeke_Bio"/>
    <hyperlink ref="H12" r:id="rId16" display="morlan@iowacentral.edu"/>
    <hyperlink ref="Q12" r:id="rId17" display="https://ictritons.prestosports.com/sports/esports/coaches/morlan_sam"/>
    <hyperlink ref="H13" r:id="rId18" display="wriccetti@iwcc.edu"/>
    <hyperlink ref="Q13" r:id="rId19" display="https://goreivers.com/sports/esports/coaches/billricetti"/>
    <hyperlink ref="H14" r:id="rId20" display="mccinfo@iavalley.edu"/>
    <hyperlink ref="Q14" r:id="rId21" display="https://mccathletics.com/sports/esports/coaches/Nate_Rodemeyer"/>
    <hyperlink ref="H15" r:id="rId22" display="mike.craig@witcc.edu"/>
    <hyperlink ref="Q15" r:id="rId23" display="https://bytespeed.com/naecad-collegiate-esports-guide/"/>
    <hyperlink ref="Q16" r:id="rId24" display="https://clclancers.com/staff-directory/matthew-hixon/28"/>
    <hyperlink ref="H17" r:id="rId25" display="frc@heartland.edu"/>
    <hyperlink ref="Q17" r:id="rId26" display="https://www.heartland.edu/news/2024/6.2024BelcherEsportsCoach062524.html"/>
    <hyperlink ref="H18" r:id="rId27" display="ghorta@kish.edu"/>
    <hyperlink ref="Q18" r:id="rId28" display="https://productiverecruit.com/athletic-scholarships/esports/kansas/highland-community-college"/>
    <hyperlink ref="H19" r:id="rId29" display="robin.ackman@llcc.edu"/>
    <hyperlink ref="Q19" r:id="rId30" display="https://productiverecruit.com/athletic-scholarships/esports/michigan/muskegon-community-college"/>
    <hyperlink ref="Q20" r:id="rId31" display="https://productiverecruit.com/athletic-scholarships/esports/pennsylvania/montgomery-county-community-college"/>
    <hyperlink ref="H21" r:id="rId32" display="admissions@bartonccc.edu"/>
    <hyperlink ref="Q21" r:id="rId33" display="https://productiverecruit.com/athletic-scholarships/esports/kansas/highland-community-college"/>
    <hyperlink ref="H22" r:id="rId34" display="admissions@coffeyville.edu"/>
    <hyperlink ref="Q22" r:id="rId35" display="https://www.coffeyville.edu/student-organizations-and-activities/esports/esports-coach"/>
    <hyperlink ref="H23" r:id="rId36" display="bens@fortscott.edu"/>
    <hyperlink ref="Q23" r:id="rId37" display="https://fortscott.prestosports.com/sports/esports/coaches/Ben_Souza"/>
    <hyperlink ref="H24" r:id="rId38" display="mitchell.margaris@hesston.edu"/>
    <hyperlink ref="Q24" r:id="rId39" display="https://hesston.edu/about/leadership-faculty-and-staff/faculty-and-staff-directory/mitchell-margaris"/>
    <hyperlink ref="H25" r:id="rId40" display="admissions@highland.edu"/>
    <hyperlink ref="Q25" r:id="rId41" display="https://productiverecruit.com/athletic-scholarships/esports/kansas/highland-community-college"/>
    <hyperlink ref="H26" r:id="rId42" display="bthornton@indycc.edu"/>
    <hyperlink ref="Q26" r:id="rId43" display="https://en.wikipedia.org/wiki/National_Association_of_Collegiate_Esports"/>
    <hyperlink ref="H27" r:id="rId44" display="charlesk@prattcc.edu"/>
    <hyperlink ref="Q27" r:id="rId45" display="https://bytespeed.com/naecad-collegiate-esports-guide/"/>
    <hyperlink ref="H28" r:id="rId46" display="eric.volden@sccc.edu"/>
    <hyperlink ref="Q28" r:id="rId47" display="https://seward.prestosports.com/sports/esports/coaches/Eric_Volden"/>
    <hyperlink ref="H29" r:id="rId48" display="admissions@massbay.edu"/>
    <hyperlink ref="Q29" r:id="rId49" display="https://productiverecruit.com/athletic-scholarships/esports/iowa/iowa-western-community-college"/>
    <hyperlink ref="H30" r:id="rId50" display="enrollmentservices@necc.mass.edu"/>
    <hyperlink ref="Q30" r:id="rId51" display="https://en.wikipedia.org/wiki/College_esports_in_the_United_States"/>
    <hyperlink ref="H31" r:id="rId52" display="wcjohnson2@aacc.edu"/>
    <hyperlink ref="Q31" r:id="rId53" display="https://aacc.prestosports.com/sports/esports/coaches/Conway_Johnson"/>
    <hyperlink ref="Q32" r:id="rId54" display="https://www.animationcareerreview.com/articles/list-us-colleges-varsity-esports-programs"/>
    <hyperlink ref="H33" r:id="rId55" display="adeshaies@mainecc.edu"/>
    <hyperlink ref="Q33" r:id="rId56" display="https://yorkcountyhawks.com/ESports_makes_move_to_NJCAAe"/>
    <hyperlink ref="H34" r:id="rId57" display="info@gogebic.edu"/>
    <hyperlink ref="Q34" r:id="rId58" display="https://www.hawkeyecollege.edu/articles/news/hawkeye-community-college-esports-program-caps-undefeated-season-with-national-title"/>
    <hyperlink ref="H35" r:id="rId59" display="admissions@jccmi.edu"/>
    <hyperlink ref="Q35" r:id="rId60" display="https://productiverecruit.com/athletic-scholarships/esports/kansas/highland-community-college"/>
    <hyperlink ref="H36" r:id="rId61" display="johnathon.skidmore@muskegoncc.edu"/>
    <hyperlink ref="Q36" r:id="rId62" display="https://fox17online.com/news/local-news/muskegon-community-college-launching-esports-program"/>
    <hyperlink ref="H37" r:id="rId63" display="admissions@nmc.edu"/>
    <hyperlink ref="Q37" r:id="rId64" display="https://waketech.prestosports.com/sports/esports/2022-23/releases/20221123j6z3l4"/>
    <hyperlink ref="H38" r:id="rId65" display="enrollment@sc4.edu"/>
    <hyperlink ref="Q38" r:id="rId66" display="https://productiverecruit.com/athletic-scholarships/esports/iowa/iowa-western-community-college"/>
    <hyperlink ref="H39" r:id="rId67" display="jamesdickey@crowder.edu"/>
    <hyperlink ref="Q39" r:id="rId68" display="https://en.wikipedia.org/wiki/College_esports_in_the_United_States"/>
    <hyperlink ref="H40" r:id="rId69" display="apinnon@missouristate.edu"/>
    <hyperlink ref="Q40" r:id="rId70" display="https://bytespeed.com/naecad-collegiate-esports-guide/"/>
    <hyperlink ref="H41" r:id="rId71" display="cflowers@mail.ncmissouri.edu"/>
    <hyperlink ref="Q41" r:id="rId72" display="https://ncmc.prestosports.com/sports/esports/Coaches/Chris_Flowers"/>
    <hyperlink ref="H42" r:id="rId73" display="fordt@otc.edu"/>
    <hyperlink ref="Q42" r:id="rId74" display="https://students.otc.edu/financialaid/job/esports-assistant/"/>
    <hyperlink ref="H43" r:id="rId75" display="admissions@stchas.edu"/>
    <hyperlink ref="Q43" r:id="rId76" display="https://stchas.edu/who-we-are/news/archive/2026/valorant_team_becomes_njcaaet3_champions_and_other_successes.php"/>
    <hyperlink ref="H44" r:id="rId77" display="rcruz9@stlcc.edu"/>
    <hyperlink ref="Q44" r:id="rId78" display="https://stlcc.prestosports.com/sports/Esports/coaches/Robert_Cruz"/>
    <hyperlink ref="H45" r:id="rId79" display="jcoleman1@sfccmo.edu"/>
    <hyperlink ref="Q45" r:id="rId80" display="https://statefaircc.prestosports.com/sports/esports/coaches/Jacob_Coleman"/>
    <hyperlink ref="H46" r:id="rId81" display="admissions@statetechmo.edu"/>
    <hyperlink ref="Q46" r:id="rId82" display="https://waketech.prestosports.com/sports/esports/2023-24/releases/20231112lwkmks"/>
    <hyperlink ref="Q47" r:id="rId83" display="https://productiverecruit.com/athletic-scholarships/esports/kansas/highland-community-college"/>
    <hyperlink ref="H48" r:id="rId84" display="info@dawson.edu"/>
    <hyperlink ref="Q48" r:id="rId85" display="https://productiverecruit.com/athletic-scholarships/esports/iowa/iowa-central-community-college"/>
    <hyperlink ref="Q49" r:id="rId86" display="https://theonlineclarion.com/sports/2025/01/21/esports-team-earns-another-national-title-its-3rd-straight"/>
    <hyperlink ref="H50" r:id="rId87" display="tmnguyen3@gtcc.edu"/>
    <hyperlink ref="Q50" r:id="rId88" display="https://www.gtcc.edu/student-life/athletics/esports.php"/>
    <hyperlink ref="H51" r:id="rId89" display="lccommunications@louisburg.edu"/>
    <hyperlink ref="Q51" r:id="rId90" display="https://productiverecruit.com/athletic-scholarships/esports/kansas/highland-community-college"/>
    <hyperlink ref="H52" r:id="rId91" display="navigate@spcc.edu"/>
    <hyperlink ref="Q52" r:id="rId92" display="https://www.nccommunitycolleges.edu/about-us/jobs/esports-coach-student-life-communications-coordinator-part-time/"/>
    <hyperlink ref="H53" r:id="rId93" display="pwmcnair@waketech.edu"/>
    <hyperlink ref="Q53" r:id="rId94" display="https://waketechsports.com/sports/Esports/coaches/PatrickMcNair"/>
    <hyperlink ref="H54" r:id="rId95" display="bsc.admissions@bismarckstate.edu"/>
    <hyperlink ref="Q54" r:id="rId96" display="https://productiverecruit.com/athletic-scholarships/esports/michigan/muskegon-community-college"/>
    <hyperlink ref="Q55" r:id="rId97" display="https://en.wikipedia.org/wiki/National_Association_of_Collegiate_Esports"/>
    <hyperlink ref="H56" r:id="rId98" display="lucaslumbra@cccneb.edu"/>
    <hyperlink ref="Q56" r:id="rId99" display="https://cccneb.prestosports.com/information/directory/Lucas_Lumbra"/>
    <hyperlink ref="H57" r:id="rId100" display="admissions@southeast.edu"/>
    <hyperlink ref="Q57" r:id="rId101" display="https://waketech.prestosports.com/sports/esports/2023-24/schedule"/>
    <hyperlink ref="H58" r:id="rId102" display="askgreatbay@ccsnh.edu"/>
    <hyperlink ref="Q58" r:id="rId103" display="https://en.wikipedia.org/wiki/National_Association_of_Collegiate_Esports"/>
    <hyperlink ref="H59" r:id="rId104" display="cboehmer@brookdalecc.edu"/>
    <hyperlink ref="Q59" r:id="rId105" display="https://www.brookdalecc.edu/esports/"/>
    <hyperlink ref="H60" r:id="rId106" display="admissions@camdencc.edu"/>
    <hyperlink ref="Q60" r:id="rId107" display="https://www.bestcolleges.com/news/love-esports-here-are-all-the-colleges-with-esports-teams/"/>
    <hyperlink ref="H61" r:id="rId108" display="occ-e-sports@ocean.edu"/>
    <hyperlink ref="Q61" r:id="rId109" display="https://oceancc.prestosports.com/genrel/12-11-20_OCC_Esports_To_Add_3_Games_to_Season"/>
    <hyperlink ref="H62" r:id="rId110" display="lcarter0761@pccc.edu"/>
    <hyperlink ref="Q62" r:id="rId111" display="https://pccc.edu/meet-lamar-carter-pcccs-new-esports-coordinator-coach/"/>
    <hyperlink ref="H63" r:id="rId112" display="admissions@sussex.edu"/>
    <hyperlink ref="Q63" r:id="rId113" display="https://sussex.edu/about-sussex/jobs/sussex-jobs/pt-coach-esports"/>
    <hyperlink ref="Q64" r:id="rId114" display="https://waketech.prestosports.com/sports/esports/2023-24/schedule"/>
    <hyperlink ref="H65" r:id="rId115" display="admissions@sunydutchess.edu"/>
    <hyperlink ref="Q65" r:id="rId116" display="https://productiverecruit.com/athletic-scholarships/esports/iowa/iowa-western-community-college"/>
    <hyperlink ref="H66" r:id="rId117" display="admissions@flcc.edu"/>
    <hyperlink ref="Q66" r:id="rId118" display="https://productiverecruit.com/athletic-scholarships/esports/kansas/highland-community-college"/>
    <hyperlink ref="H67" r:id="rId119" display="a.hebert@hvcc.edu"/>
    <hyperlink ref="Q67" r:id="rId120" display="https://hvcc.prestosports.com/sports/esports/coaches/Aaron_Hebert"/>
    <hyperlink ref="Q68" r:id="rId121" display="https://productiverecruit.com/athletic-scholarships/esports/pennsylvania/montgomery-county-community-college"/>
    <hyperlink ref="H69" r:id="rId122" display="occinfo@sunyocc.edu"/>
    <hyperlink ref="Q69" r:id="rId123" display="https://onondagalazers.com/news/2022/5/25/occ-launching-e-sports-program.aspx"/>
    <hyperlink ref="H70" r:id="rId124" display="admissions@sunyrockland.edu"/>
    <hyperlink ref="Q70" r:id="rId125" display="https://productiverecruit.com/athletic-scholarships/esports/iowa/iowa-western-community-college"/>
    <hyperlink ref="H71" r:id="rId126" display="info@sunysullivan.edu"/>
    <hyperlink ref="Q71" r:id="rId127" display="https://productiverecruit.com/athletic-scholarships/esports/kansas/highland-community-college"/>
    <hyperlink ref="H72" r:id="rId128" display="athletics@sunysuffolk.edu"/>
    <hyperlink ref="Q72" r:id="rId129" display="https://sunysuffolkathletics.com/sports/esports/coaches/GORDON_SHANE"/>
    <hyperlink ref="H73" r:id="rId130" display="rileym24177@hocking.edu"/>
    <hyperlink ref="Q73" r:id="rId131" display="https://bytespeed.com/naecad-collegiate-esports-guide/"/>
    <hyperlink ref="H74" r:id="rId132" display="jmrazeck2@lakelandcc.edu"/>
    <hyperlink ref="Q74" r:id="rId133" display="https://athletics.lakelandcc.edu/sports/esports/coaches/Jeremiah_Mrazeck"/>
    <hyperlink ref="H75" r:id="rId134" display="esports@lorainccc.edu"/>
    <hyperlink ref="Q75" r:id="rId135" display="https://loraincounty.prestosports.com/sports/esports/coaches/robert_mclelland"/>
    <hyperlink ref="H76" r:id="rId136" display="sfloyd@northweststate.edu"/>
    <hyperlink ref="Q76" r:id="rId137" display="https://en.wikipedia.org/wiki/National_Association_of_Collegiate_Esports"/>
    <hyperlink ref="H77" r:id="rId138" display="info@sscc.edu"/>
    <hyperlink ref="Q77" r:id="rId139" display="https://en.wikipedia.org/wiki/National_Association_of_Collegiate_Esports"/>
    <hyperlink ref="Q78" r:id="rId140" display="https://productiverecruit.com/athletic-scholarships/esports/iowa/iowa-central-community-college"/>
    <hyperlink ref="H79" r:id="rId141" display="ralexander@mscok.edu"/>
    <hyperlink ref="Q79" r:id="rId142" display="https://bytespeed.com/naecad-collegiate-esports-guide/"/>
    <hyperlink ref="H80" r:id="rId143" display="s.morris@sscok.edu"/>
    <hyperlink ref="Q80" r:id="rId144" display="https://sscok.edu/_assets/pdfs/sponsored-Grant-programs/NASNTI/newsletters/2025/December NASNTI Newsletter 2025.pdf"/>
    <hyperlink ref="Q81" r:id="rId145" display="https://www.animationcareerreview.com/articles/list-us-colleges-varsity-esports-programs"/>
    <hyperlink ref="Q82" r:id="rId146" display="https://umpqua.prestosports.com/sports/esports/2020-21/releases/20200819orrcxa"/>
    <hyperlink ref="H83" r:id="rId147" display="jjohnstone@ccac.edu"/>
    <hyperlink ref="Q83" r:id="rId148" display="https://www.ccac.edu/campus-life/esports.php"/>
    <hyperlink ref="Q84" r:id="rId149" display="https://harrisburg.prestosports.com/sports/esports/coaches/Head_Coach_eSports"/>
    <hyperlink ref="H85" r:id="rId150" display="esports@lackawanna.edu"/>
    <hyperlink ref="Q85" r:id="rId151" display="https://bytespeed.com/naecad-collegiate-esports-guide/"/>
    <hyperlink ref="H86" r:id="rId152" display="admissions@luzerne.edu"/>
    <hyperlink ref="Q86" r:id="rId153" display="https://www.luzerne.edu/studentlife/athletics/sport.jsp?id=10"/>
    <hyperlink ref="Q87" r:id="rId154" display="https://productiverecruit.com/athletic-scholarships/esports/pennsylvania/montgomery-county-community-college"/>
    <hyperlink ref="H88" r:id="rId155" display="jmaul@pennhighlands.edu"/>
    <hyperlink ref="Q88" r:id="rId156" display="https://www.pennhighlands.edu/?p=29965"/>
    <hyperlink ref="Q89" r:id="rId157" display="https://careers.insidehighered.com/job/3556889/part-time-e-sports-head-coach/"/>
    <hyperlink ref="H90" r:id="rId158" display="esports@actx.edu"/>
    <hyperlink ref="Q90" r:id="rId159" display="https://bytespeed.com/naecad-collegiate-esports-guide/"/>
    <hyperlink ref="H91" r:id="rId160" display="aaron.kapiko@blinn.edu"/>
    <hyperlink ref="Q91" r:id="rId161" display="https://www.blinn.edu/news/2026/08/esports-tryouts.html"/>
    <hyperlink ref="Q92" r:id="rId162" display="https://www.njcaaesports.org/"/>
    <hyperlink ref="Q93" r:id="rId163" display="https://www.bestcolleges.com/news/love-esports-here-are-all-the-colleges-with-esports-teams/"/>
    <hyperlink ref="H94" r:id="rId164" display="smccort@dallascollege.edu"/>
    <hyperlink ref="Q94" r:id="rId165" display="https://brookhaven.prestosports.com/sports/esports/coaches/Sky_McCort"/>
    <hyperlink ref="Q95" r:id="rId166" display="https://productiverecruit.com/athletic-scholarships/esports/kansas/highland-community-college"/>
    <hyperlink ref="H96" r:id="rId167" display="welcome@midland.edu"/>
    <hyperlink ref="Q96" r:id="rId168" display="https://www.govtech.com/education/higher-ed/midland-college-joins-njcaa-esports-league"/>
    <hyperlink ref="H97" r:id="rId169" display="James.jones@tvcc.edu"/>
    <hyperlink ref="Q97" r:id="rId170" display="https://bytespeed.com/naecad-collegiate-esports-guide/"/>
    <hyperlink ref="Q98" r:id="rId171" display="https://www.globeslcc.com/2022/11/29/bruin-athletics-new-esports-director-jeffrey-sosa"/>
    <hyperlink ref="H99" r:id="rId172" display="snowcollege@snow.edu"/>
    <hyperlink ref="Q99" r:id="rId173" display="https://stats.njcaa.org/general/2020-21/releases/20200831nzu7ll"/>
    <hyperlink ref="Q100" r:id="rId174" display="https://waketech.prestosports.com/sports/esports/2023-24/schedule"/>
    <hyperlink ref="H101" r:id="rId175" display="cpulliam@dcc.vccs.edu"/>
    <hyperlink ref="Q101" r:id="rId176" display="https://loraincounty.prestosports.com/sports/esports/2024-25/releases/20241003wcd0se"/>
    <hyperlink ref="Q102" r:id="rId177" display="https://northernvirginiamag.com/?p=503895"/>
    <hyperlink ref="Q103" r:id="rId178" display="https://productiverecruit.com/athletic-scholarships/esports/kansas/highland-community-college"/>
    <hyperlink ref="Q104" r:id="rId179" display="https://jobs.vccs.edu/postings/101724"/>
    <hyperlink ref="H105" r:id="rId180" display="info@tcc.edu"/>
    <hyperlink ref="Q105" r:id="rId181" display="https://jobboard.simplifaster.com/?p=10305"/>
    <hyperlink ref="H106" r:id="rId182" display="admissionsCC@centralia.edu"/>
    <hyperlink ref="Q106" r:id="rId183" display="https://cbchawks.com/news/2023/7/27/general-cbc-begins-e-sports-era-with-first-signing-ceremony.aspx"/>
    <hyperlink ref="Q107" r:id="rId184" display="https://cbchawks.com/sports/e-sports/roster"/>
    <hyperlink ref="H108" r:id="rId185" display="admissions@pencol.edu"/>
    <hyperlink ref="Q108" r:id="rId186" display="https://cbchawks.com/news/2023/7/27/general-cbc-begins-e-sports-era-with-first-signing-ceremony.aspx"/>
    <hyperlink ref="H109" r:id="rId187" display="tanya.jaeger@gotoltc.edu"/>
    <hyperlink ref="Q109" r:id="rId188" display="https://en.wikipedia.org/wiki/National_Association_of_Collegiate_Esports"/>
    <hyperlink ref="H110" r:id="rId189" display="enrollmentservices@madisoncollege.edu"/>
    <hyperlink ref="Q110" r:id="rId190" display="https://madisoncollege.edu/about/news/esports-smashing-success-madison-college"/>
    <hyperlink ref="H111" r:id="rId191" display="go2psc@mail.wvu.edu"/>
    <hyperlink ref="Q111" r:id="rId192" display="https://en.wikipedia.org/wiki/National_Association_of_Collegiate_Esports"/>
    <hyperlink ref="Q112" r:id="rId193" display="https://www.lccc.wy.edu/news/2023-8-2_esports_coach.aspx"/>
    <hyperlink ref="H113" r:id="rId194" display="christopher.dugger@nwc.edu"/>
    <hyperlink ref="Q113" r:id="rId195" display="https://nwctrappers.com/sports/esports/coaches/Chris_Dugg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9" t="s">
        <v>662</v>
      </c>
    </row>
    <row r="3" customFormat="false" ht="15" hidden="false" customHeight="false" outlineLevel="0" collapsed="false">
      <c r="A3" s="10" t="s">
        <v>663</v>
      </c>
      <c r="B3" s="11" t="n">
        <f aca="false">COUNTA(Contacts!A2:A1000)</f>
        <v>112</v>
      </c>
    </row>
    <row r="4" customFormat="false" ht="15" hidden="false" customHeight="false" outlineLevel="0" collapsed="false">
      <c r="A4" s="10" t="s">
        <v>664</v>
      </c>
      <c r="B4" s="11" t="n">
        <f aca="false">COUNTIF(Contacts!E2:E1000,"?*")</f>
        <v>53</v>
      </c>
    </row>
    <row r="5" customFormat="false" ht="15" hidden="false" customHeight="false" outlineLevel="0" collapsed="false">
      <c r="A5" s="10" t="s">
        <v>665</v>
      </c>
      <c r="B5" s="11" t="n">
        <f aca="false">COUNTIF(Contacts!H2:H1000,"?*")</f>
        <v>83</v>
      </c>
    </row>
    <row r="6" customFormat="false" ht="15" hidden="false" customHeight="false" outlineLevel="0" collapsed="false">
      <c r="A6" s="10" t="s">
        <v>666</v>
      </c>
      <c r="B6" s="11" t="n">
        <f aca="false">COUNTIF(Contacts!I2:I1000,"Coach / program")</f>
        <v>35</v>
      </c>
    </row>
    <row r="7" customFormat="false" ht="15" hidden="false" customHeight="false" outlineLevel="0" collapsed="false">
      <c r="A7" s="10" t="s">
        <v>667</v>
      </c>
      <c r="B7" s="11" t="n">
        <f aca="false">B5-B6</f>
        <v>48</v>
      </c>
    </row>
    <row r="8" customFormat="false" ht="15" hidden="false" customHeight="false" outlineLevel="0" collapsed="false">
      <c r="A8" s="10" t="s">
        <v>11</v>
      </c>
      <c r="B8" s="11" t="n">
        <f aca="false">COUNTIF(Contacts!L2:L1000,TRUE())</f>
        <v>0</v>
      </c>
    </row>
    <row r="9" customFormat="false" ht="15" hidden="false" customHeight="false" outlineLevel="0" collapsed="false">
      <c r="A9" s="10" t="s">
        <v>12</v>
      </c>
      <c r="B9" s="11" t="n">
        <f aca="false">COUNTIF(Contacts!M2:M1000,TRUE())</f>
        <v>0</v>
      </c>
    </row>
    <row r="10" customFormat="false" ht="15" hidden="false" customHeight="false" outlineLevel="0" collapsed="false">
      <c r="A10" s="10" t="s">
        <v>668</v>
      </c>
      <c r="B10" s="12" t="n">
        <f aca="false">IF(B8=0,0,B9/B8)</f>
        <v>0</v>
      </c>
    </row>
    <row r="11" customFormat="false" ht="15" hidden="false" customHeight="false" outlineLevel="0" collapsed="false">
      <c r="A11" s="10" t="s">
        <v>669</v>
      </c>
      <c r="B11" s="11" t="n">
        <f aca="false">B3-B8</f>
        <v>112</v>
      </c>
    </row>
    <row r="14" customFormat="false" ht="15" hidden="false" customHeight="false" outlineLevel="0" collapsed="false">
      <c r="A14" s="13" t="s">
        <v>670</v>
      </c>
    </row>
    <row r="15" customFormat="false" ht="15" hidden="false" customHeight="false" outlineLevel="0" collapsed="false">
      <c r="A15" s="14" t="s">
        <v>2</v>
      </c>
      <c r="B15" s="14" t="s">
        <v>671</v>
      </c>
      <c r="C15" s="14" t="s">
        <v>11</v>
      </c>
      <c r="D15" s="14" t="s">
        <v>12</v>
      </c>
    </row>
    <row r="16" customFormat="false" ht="15" hidden="false" customHeight="false" outlineLevel="0" collapsed="false">
      <c r="A16" s="15" t="s">
        <v>20</v>
      </c>
      <c r="B16" s="15" t="n">
        <f aca="false">COUNTIF(Contacts!$C$2:$C$1000,A16)</f>
        <v>1</v>
      </c>
      <c r="C16" s="15" t="n">
        <f aca="false">COUNTIFS(Contacts!$C$2:$C$1000,A16,Contacts!$L$2:$L$1000,TRUE())</f>
        <v>0</v>
      </c>
      <c r="D16" s="15" t="n">
        <f aca="false">COUNTIFS(Contacts!$C$2:$C$1000,A16,Contacts!$M$2:$M$1000,TRUE())</f>
        <v>0</v>
      </c>
    </row>
    <row r="17" customFormat="false" ht="15" hidden="false" customHeight="false" outlineLevel="0" collapsed="false">
      <c r="A17" s="15" t="s">
        <v>30</v>
      </c>
      <c r="B17" s="15" t="n">
        <f aca="false">COUNTIF(Contacts!$C$2:$C$1000,A17)</f>
        <v>1</v>
      </c>
      <c r="C17" s="15" t="n">
        <f aca="false">COUNTIFS(Contacts!$C$2:$C$1000,A17,Contacts!$L$2:$L$1000,TRUE())</f>
        <v>0</v>
      </c>
      <c r="D17" s="15" t="n">
        <f aca="false">COUNTIFS(Contacts!$C$2:$C$1000,A17,Contacts!$M$2:$M$1000,TRUE())</f>
        <v>0</v>
      </c>
    </row>
    <row r="18" customFormat="false" ht="15" hidden="false" customHeight="false" outlineLevel="0" collapsed="false">
      <c r="A18" s="15" t="s">
        <v>39</v>
      </c>
      <c r="B18" s="15" t="n">
        <f aca="false">COUNTIF(Contacts!$C$2:$C$1000,A18)</f>
        <v>1</v>
      </c>
      <c r="C18" s="15" t="n">
        <f aca="false">COUNTIFS(Contacts!$C$2:$C$1000,A18,Contacts!$L$2:$L$1000,TRUE())</f>
        <v>0</v>
      </c>
      <c r="D18" s="15" t="n">
        <f aca="false">COUNTIFS(Contacts!$C$2:$C$1000,A18,Contacts!$M$2:$M$1000,TRUE())</f>
        <v>0</v>
      </c>
    </row>
    <row r="19" customFormat="false" ht="15" hidden="false" customHeight="false" outlineLevel="0" collapsed="false">
      <c r="A19" s="15" t="s">
        <v>46</v>
      </c>
      <c r="B19" s="15" t="n">
        <f aca="false">COUNTIF(Contacts!$C$2:$C$1000,A19)</f>
        <v>4</v>
      </c>
      <c r="C19" s="15" t="n">
        <f aca="false">COUNTIFS(Contacts!$C$2:$C$1000,A19,Contacts!$L$2:$L$1000,TRUE())</f>
        <v>0</v>
      </c>
      <c r="D19" s="15" t="n">
        <f aca="false">COUNTIFS(Contacts!$C$2:$C$1000,A19,Contacts!$M$2:$M$1000,TRUE())</f>
        <v>0</v>
      </c>
    </row>
    <row r="20" customFormat="false" ht="15" hidden="false" customHeight="false" outlineLevel="0" collapsed="false">
      <c r="A20" s="15" t="s">
        <v>71</v>
      </c>
      <c r="B20" s="15" t="n">
        <f aca="false">COUNTIF(Contacts!$C$2:$C$1000,A20)</f>
        <v>1</v>
      </c>
      <c r="C20" s="15" t="n">
        <f aca="false">COUNTIFS(Contacts!$C$2:$C$1000,A20,Contacts!$L$2:$L$1000,TRUE())</f>
        <v>0</v>
      </c>
      <c r="D20" s="15" t="n">
        <f aca="false">COUNTIFS(Contacts!$C$2:$C$1000,A20,Contacts!$M$2:$M$1000,TRUE())</f>
        <v>0</v>
      </c>
    </row>
    <row r="21" customFormat="false" ht="15" hidden="false" customHeight="false" outlineLevel="0" collapsed="false">
      <c r="A21" s="15" t="s">
        <v>78</v>
      </c>
      <c r="B21" s="15" t="n">
        <f aca="false">COUNTIF(Contacts!$C$2:$C$1000,A21)</f>
        <v>1</v>
      </c>
      <c r="C21" s="15" t="n">
        <f aca="false">COUNTIFS(Contacts!$C$2:$C$1000,A21,Contacts!$L$2:$L$1000,TRUE())</f>
        <v>0</v>
      </c>
      <c r="D21" s="15" t="n">
        <f aca="false">COUNTIFS(Contacts!$C$2:$C$1000,A21,Contacts!$M$2:$M$1000,TRUE())</f>
        <v>0</v>
      </c>
    </row>
    <row r="22" customFormat="false" ht="15" hidden="false" customHeight="false" outlineLevel="0" collapsed="false">
      <c r="A22" s="15" t="s">
        <v>89</v>
      </c>
      <c r="B22" s="15" t="n">
        <f aca="false">COUNTIF(Contacts!$C$2:$C$1000,A22)</f>
        <v>5</v>
      </c>
      <c r="C22" s="15" t="n">
        <f aca="false">COUNTIFS(Contacts!$C$2:$C$1000,A22,Contacts!$L$2:$L$1000,TRUE())</f>
        <v>0</v>
      </c>
      <c r="D22" s="15" t="n">
        <f aca="false">COUNTIFS(Contacts!$C$2:$C$1000,A22,Contacts!$M$2:$M$1000,TRUE())</f>
        <v>0</v>
      </c>
    </row>
    <row r="23" customFormat="false" ht="15" hidden="false" customHeight="false" outlineLevel="0" collapsed="false">
      <c r="A23" s="15" t="s">
        <v>135</v>
      </c>
      <c r="B23" s="15" t="n">
        <f aca="false">COUNTIF(Contacts!$C$2:$C$1000,A23)</f>
        <v>5</v>
      </c>
      <c r="C23" s="15" t="n">
        <f aca="false">COUNTIFS(Contacts!$C$2:$C$1000,A23,Contacts!$L$2:$L$1000,TRUE())</f>
        <v>0</v>
      </c>
      <c r="D23" s="15" t="n">
        <f aca="false">COUNTIFS(Contacts!$C$2:$C$1000,A23,Contacts!$M$2:$M$1000,TRUE())</f>
        <v>0</v>
      </c>
    </row>
    <row r="24" customFormat="false" ht="15" hidden="false" customHeight="false" outlineLevel="0" collapsed="false">
      <c r="A24" s="15" t="s">
        <v>164</v>
      </c>
      <c r="B24" s="15" t="n">
        <f aca="false">COUNTIF(Contacts!$C$2:$C$1000,A24)</f>
        <v>8</v>
      </c>
      <c r="C24" s="15" t="n">
        <f aca="false">COUNTIFS(Contacts!$C$2:$C$1000,A24,Contacts!$L$2:$L$1000,TRUE())</f>
        <v>0</v>
      </c>
      <c r="D24" s="15" t="n">
        <f aca="false">COUNTIFS(Contacts!$C$2:$C$1000,A24,Contacts!$M$2:$M$1000,TRUE())</f>
        <v>0</v>
      </c>
    </row>
    <row r="25" customFormat="false" ht="15" hidden="false" customHeight="false" outlineLevel="0" collapsed="false">
      <c r="A25" s="15" t="s">
        <v>209</v>
      </c>
      <c r="B25" s="15" t="n">
        <f aca="false">COUNTIF(Contacts!$C$2:$C$1000,A25)</f>
        <v>2</v>
      </c>
      <c r="C25" s="15" t="n">
        <f aca="false">COUNTIFS(Contacts!$C$2:$C$1000,A25,Contacts!$L$2:$L$1000,TRUE())</f>
        <v>0</v>
      </c>
      <c r="D25" s="15" t="n">
        <f aca="false">COUNTIFS(Contacts!$C$2:$C$1000,A25,Contacts!$M$2:$M$1000,TRUE())</f>
        <v>0</v>
      </c>
    </row>
    <row r="26" customFormat="false" ht="15" hidden="false" customHeight="false" outlineLevel="0" collapsed="false">
      <c r="A26" s="15" t="s">
        <v>217</v>
      </c>
      <c r="B26" s="15" t="n">
        <f aca="false">COUNTIF(Contacts!$C$2:$C$1000,A26)</f>
        <v>1</v>
      </c>
      <c r="C26" s="15" t="n">
        <f aca="false">COUNTIFS(Contacts!$C$2:$C$1000,A26,Contacts!$L$2:$L$1000,TRUE())</f>
        <v>0</v>
      </c>
      <c r="D26" s="15" t="n">
        <f aca="false">COUNTIFS(Contacts!$C$2:$C$1000,A26,Contacts!$M$2:$M$1000,TRUE())</f>
        <v>0</v>
      </c>
    </row>
    <row r="27" customFormat="false" ht="15" hidden="false" customHeight="false" outlineLevel="0" collapsed="false">
      <c r="A27" s="15" t="s">
        <v>225</v>
      </c>
      <c r="B27" s="15" t="n">
        <f aca="false">COUNTIF(Contacts!$C$2:$C$1000,A27)</f>
        <v>2</v>
      </c>
      <c r="C27" s="15" t="n">
        <f aca="false">COUNTIFS(Contacts!$C$2:$C$1000,A27,Contacts!$L$2:$L$1000,TRUE())</f>
        <v>0</v>
      </c>
      <c r="D27" s="15" t="n">
        <f aca="false">COUNTIFS(Contacts!$C$2:$C$1000,A27,Contacts!$M$2:$M$1000,TRUE())</f>
        <v>0</v>
      </c>
    </row>
    <row r="28" customFormat="false" ht="15" hidden="false" customHeight="false" outlineLevel="0" collapsed="false">
      <c r="A28" s="15" t="s">
        <v>239</v>
      </c>
      <c r="B28" s="15" t="n">
        <f aca="false">COUNTIF(Contacts!$C$2:$C$1000,A28)</f>
        <v>5</v>
      </c>
      <c r="C28" s="15" t="n">
        <f aca="false">COUNTIFS(Contacts!$C$2:$C$1000,A28,Contacts!$L$2:$L$1000,TRUE())</f>
        <v>0</v>
      </c>
      <c r="D28" s="15" t="n">
        <f aca="false">COUNTIFS(Contacts!$C$2:$C$1000,A28,Contacts!$M$2:$M$1000,TRUE())</f>
        <v>0</v>
      </c>
    </row>
    <row r="29" customFormat="false" ht="15" hidden="false" customHeight="false" outlineLevel="0" collapsed="false">
      <c r="A29" s="15" t="s">
        <v>262</v>
      </c>
      <c r="B29" s="15" t="n">
        <f aca="false">COUNTIF(Contacts!$C$2:$C$1000,A29)</f>
        <v>8</v>
      </c>
      <c r="C29" s="15" t="n">
        <f aca="false">COUNTIFS(Contacts!$C$2:$C$1000,A29,Contacts!$L$2:$L$1000,TRUE())</f>
        <v>0</v>
      </c>
      <c r="D29" s="15" t="n">
        <f aca="false">COUNTIFS(Contacts!$C$2:$C$1000,A29,Contacts!$M$2:$M$1000,TRUE())</f>
        <v>0</v>
      </c>
    </row>
    <row r="30" customFormat="false" ht="15" hidden="false" customHeight="false" outlineLevel="0" collapsed="false">
      <c r="A30" s="15" t="s">
        <v>310</v>
      </c>
      <c r="B30" s="15" t="n">
        <f aca="false">COUNTIF(Contacts!$C$2:$C$1000,A30)</f>
        <v>1</v>
      </c>
      <c r="C30" s="15" t="n">
        <f aca="false">COUNTIFS(Contacts!$C$2:$C$1000,A30,Contacts!$L$2:$L$1000,TRUE())</f>
        <v>0</v>
      </c>
      <c r="D30" s="15" t="n">
        <f aca="false">COUNTIFS(Contacts!$C$2:$C$1000,A30,Contacts!$M$2:$M$1000,TRUE())</f>
        <v>0</v>
      </c>
    </row>
    <row r="31" customFormat="false" ht="15" hidden="false" customHeight="false" outlineLevel="0" collapsed="false">
      <c r="A31" s="15" t="s">
        <v>314</v>
      </c>
      <c r="B31" s="15" t="n">
        <f aca="false">COUNTIF(Contacts!$C$2:$C$1000,A31)</f>
        <v>1</v>
      </c>
      <c r="C31" s="15" t="n">
        <f aca="false">COUNTIFS(Contacts!$C$2:$C$1000,A31,Contacts!$L$2:$L$1000,TRUE())</f>
        <v>0</v>
      </c>
      <c r="D31" s="15" t="n">
        <f aca="false">COUNTIFS(Contacts!$C$2:$C$1000,A31,Contacts!$M$2:$M$1000,TRUE())</f>
        <v>0</v>
      </c>
    </row>
    <row r="32" customFormat="false" ht="15" hidden="false" customHeight="false" outlineLevel="0" collapsed="false">
      <c r="A32" s="15" t="s">
        <v>319</v>
      </c>
      <c r="B32" s="15" t="n">
        <f aca="false">COUNTIF(Contacts!$C$2:$C$1000,A32)</f>
        <v>5</v>
      </c>
      <c r="C32" s="15" t="n">
        <f aca="false">COUNTIFS(Contacts!$C$2:$C$1000,A32,Contacts!$L$2:$L$1000,TRUE())</f>
        <v>0</v>
      </c>
      <c r="D32" s="15" t="n">
        <f aca="false">COUNTIFS(Contacts!$C$2:$C$1000,A32,Contacts!$M$2:$M$1000,TRUE())</f>
        <v>0</v>
      </c>
    </row>
    <row r="33" customFormat="false" ht="15" hidden="false" customHeight="false" outlineLevel="0" collapsed="false">
      <c r="A33" s="15" t="s">
        <v>349</v>
      </c>
      <c r="B33" s="15" t="n">
        <f aca="false">COUNTIF(Contacts!$C$2:$C$1000,A33)</f>
        <v>2</v>
      </c>
      <c r="C33" s="15" t="n">
        <f aca="false">COUNTIFS(Contacts!$C$2:$C$1000,A33,Contacts!$L$2:$L$1000,TRUE())</f>
        <v>0</v>
      </c>
      <c r="D33" s="15" t="n">
        <f aca="false">COUNTIFS(Contacts!$C$2:$C$1000,A33,Contacts!$M$2:$M$1000,TRUE())</f>
        <v>0</v>
      </c>
    </row>
    <row r="34" customFormat="false" ht="15" hidden="false" customHeight="false" outlineLevel="0" collapsed="false">
      <c r="A34" s="15" t="s">
        <v>356</v>
      </c>
      <c r="B34" s="15" t="n">
        <f aca="false">COUNTIF(Contacts!$C$2:$C$1000,A34)</f>
        <v>2</v>
      </c>
      <c r="C34" s="15" t="n">
        <f aca="false">COUNTIFS(Contacts!$C$2:$C$1000,A34,Contacts!$L$2:$L$1000,TRUE())</f>
        <v>0</v>
      </c>
      <c r="D34" s="15" t="n">
        <f aca="false">COUNTIFS(Contacts!$C$2:$C$1000,A34,Contacts!$M$2:$M$1000,TRUE())</f>
        <v>0</v>
      </c>
    </row>
    <row r="35" customFormat="false" ht="15" hidden="false" customHeight="false" outlineLevel="0" collapsed="false">
      <c r="A35" s="15" t="s">
        <v>369</v>
      </c>
      <c r="B35" s="15" t="n">
        <f aca="false">COUNTIF(Contacts!$C$2:$C$1000,A35)</f>
        <v>1</v>
      </c>
      <c r="C35" s="15" t="n">
        <f aca="false">COUNTIFS(Contacts!$C$2:$C$1000,A35,Contacts!$L$2:$L$1000,TRUE())</f>
        <v>0</v>
      </c>
      <c r="D35" s="15" t="n">
        <f aca="false">COUNTIFS(Contacts!$C$2:$C$1000,A35,Contacts!$M$2:$M$1000,TRUE())</f>
        <v>0</v>
      </c>
    </row>
    <row r="36" customFormat="false" ht="15" hidden="false" customHeight="false" outlineLevel="0" collapsed="false">
      <c r="A36" s="15" t="s">
        <v>373</v>
      </c>
      <c r="B36" s="15" t="n">
        <f aca="false">COUNTIF(Contacts!$C$2:$C$1000,A36)</f>
        <v>6</v>
      </c>
      <c r="C36" s="15" t="n">
        <f aca="false">COUNTIFS(Contacts!$C$2:$C$1000,A36,Contacts!$L$2:$L$1000,TRUE())</f>
        <v>0</v>
      </c>
      <c r="D36" s="15" t="n">
        <f aca="false">COUNTIFS(Contacts!$C$2:$C$1000,A36,Contacts!$M$2:$M$1000,TRUE())</f>
        <v>0</v>
      </c>
    </row>
    <row r="37" customFormat="false" ht="15" hidden="false" customHeight="false" outlineLevel="0" collapsed="false">
      <c r="A37" s="15" t="s">
        <v>406</v>
      </c>
      <c r="B37" s="15" t="n">
        <f aca="false">COUNTIF(Contacts!$C$2:$C$1000,A37)</f>
        <v>8</v>
      </c>
      <c r="C37" s="15" t="n">
        <f aca="false">COUNTIFS(Contacts!$C$2:$C$1000,A37,Contacts!$L$2:$L$1000,TRUE())</f>
        <v>0</v>
      </c>
      <c r="D37" s="15" t="n">
        <f aca="false">COUNTIFS(Contacts!$C$2:$C$1000,A37,Contacts!$M$2:$M$1000,TRUE())</f>
        <v>0</v>
      </c>
    </row>
    <row r="38" customFormat="false" ht="15" hidden="false" customHeight="false" outlineLevel="0" collapsed="false">
      <c r="A38" s="15" t="s">
        <v>447</v>
      </c>
      <c r="B38" s="15" t="n">
        <f aca="false">COUNTIF(Contacts!$C$2:$C$1000,A38)</f>
        <v>5</v>
      </c>
      <c r="C38" s="15" t="n">
        <f aca="false">COUNTIFS(Contacts!$C$2:$C$1000,A38,Contacts!$L$2:$L$1000,TRUE())</f>
        <v>0</v>
      </c>
      <c r="D38" s="15" t="n">
        <f aca="false">COUNTIFS(Contacts!$C$2:$C$1000,A38,Contacts!$M$2:$M$1000,TRUE())</f>
        <v>0</v>
      </c>
    </row>
    <row r="39" customFormat="false" ht="15" hidden="false" customHeight="false" outlineLevel="0" collapsed="false">
      <c r="A39" s="15" t="s">
        <v>474</v>
      </c>
      <c r="B39" s="15" t="n">
        <f aca="false">COUNTIF(Contacts!$C$2:$C$1000,A39)</f>
        <v>3</v>
      </c>
      <c r="C39" s="15" t="n">
        <f aca="false">COUNTIFS(Contacts!$C$2:$C$1000,A39,Contacts!$L$2:$L$1000,TRUE())</f>
        <v>0</v>
      </c>
      <c r="D39" s="15" t="n">
        <f aca="false">COUNTIFS(Contacts!$C$2:$C$1000,A39,Contacts!$M$2:$M$1000,TRUE())</f>
        <v>0</v>
      </c>
    </row>
    <row r="40" customFormat="false" ht="15" hidden="false" customHeight="false" outlineLevel="0" collapsed="false">
      <c r="A40" s="15" t="s">
        <v>489</v>
      </c>
      <c r="B40" s="15" t="n">
        <f aca="false">COUNTIF(Contacts!$C$2:$C$1000,A40)</f>
        <v>2</v>
      </c>
      <c r="C40" s="15" t="n">
        <f aca="false">COUNTIFS(Contacts!$C$2:$C$1000,A40,Contacts!$L$2:$L$1000,TRUE())</f>
        <v>0</v>
      </c>
      <c r="D40" s="15" t="n">
        <f aca="false">COUNTIFS(Contacts!$C$2:$C$1000,A40,Contacts!$M$2:$M$1000,TRUE())</f>
        <v>0</v>
      </c>
    </row>
    <row r="41" customFormat="false" ht="15" hidden="false" customHeight="false" outlineLevel="0" collapsed="false">
      <c r="A41" s="15" t="s">
        <v>499</v>
      </c>
      <c r="B41" s="15" t="n">
        <f aca="false">COUNTIF(Contacts!$C$2:$C$1000,A41)</f>
        <v>6</v>
      </c>
      <c r="C41" s="15" t="n">
        <f aca="false">COUNTIFS(Contacts!$C$2:$C$1000,A41,Contacts!$L$2:$L$1000,TRUE())</f>
        <v>0</v>
      </c>
      <c r="D41" s="15" t="n">
        <f aca="false">COUNTIFS(Contacts!$C$2:$C$1000,A41,Contacts!$M$2:$M$1000,TRUE())</f>
        <v>0</v>
      </c>
    </row>
    <row r="42" customFormat="false" ht="15" hidden="false" customHeight="false" outlineLevel="0" collapsed="false">
      <c r="A42" s="15" t="s">
        <v>540</v>
      </c>
      <c r="B42" s="15" t="n">
        <f aca="false">COUNTIF(Contacts!$C$2:$C$1000,A42)</f>
        <v>9</v>
      </c>
      <c r="C42" s="15" t="n">
        <f aca="false">COUNTIFS(Contacts!$C$2:$C$1000,A42,Contacts!$L$2:$L$1000,TRUE())</f>
        <v>0</v>
      </c>
      <c r="D42" s="15" t="n">
        <f aca="false">COUNTIFS(Contacts!$C$2:$C$1000,A42,Contacts!$M$2:$M$1000,TRUE())</f>
        <v>0</v>
      </c>
    </row>
    <row r="43" customFormat="false" ht="15" hidden="false" customHeight="false" outlineLevel="0" collapsed="false">
      <c r="A43" s="15" t="s">
        <v>586</v>
      </c>
      <c r="B43" s="15" t="n">
        <f aca="false">COUNTIF(Contacts!$C$2:$C$1000,A43)</f>
        <v>2</v>
      </c>
      <c r="C43" s="15" t="n">
        <f aca="false">COUNTIFS(Contacts!$C$2:$C$1000,A43,Contacts!$L$2:$L$1000,TRUE())</f>
        <v>0</v>
      </c>
      <c r="D43" s="15" t="n">
        <f aca="false">COUNTIFS(Contacts!$C$2:$C$1000,A43,Contacts!$M$2:$M$1000,TRUE())</f>
        <v>0</v>
      </c>
    </row>
    <row r="44" customFormat="false" ht="15" hidden="false" customHeight="false" outlineLevel="0" collapsed="false">
      <c r="A44" s="15" t="s">
        <v>598</v>
      </c>
      <c r="B44" s="15" t="n">
        <f aca="false">COUNTIF(Contacts!$C$2:$C$1000,A44)</f>
        <v>6</v>
      </c>
      <c r="C44" s="15" t="n">
        <f aca="false">COUNTIFS(Contacts!$C$2:$C$1000,A44,Contacts!$L$2:$L$1000,TRUE())</f>
        <v>0</v>
      </c>
      <c r="D44" s="15" t="n">
        <f aca="false">COUNTIFS(Contacts!$C$2:$C$1000,A44,Contacts!$M$2:$M$1000,TRUE())</f>
        <v>0</v>
      </c>
    </row>
    <row r="45" customFormat="false" ht="15" hidden="false" customHeight="false" outlineLevel="0" collapsed="false">
      <c r="A45" s="15" t="s">
        <v>624</v>
      </c>
      <c r="B45" s="15" t="n">
        <f aca="false">COUNTIF(Contacts!$C$2:$C$1000,A45)</f>
        <v>3</v>
      </c>
      <c r="C45" s="15" t="n">
        <f aca="false">COUNTIFS(Contacts!$C$2:$C$1000,A45,Contacts!$L$2:$L$1000,TRUE())</f>
        <v>0</v>
      </c>
      <c r="D45" s="15" t="n">
        <f aca="false">COUNTIFS(Contacts!$C$2:$C$1000,A45,Contacts!$M$2:$M$1000,TRUE())</f>
        <v>0</v>
      </c>
    </row>
    <row r="46" customFormat="false" ht="15" hidden="false" customHeight="false" outlineLevel="0" collapsed="false">
      <c r="A46" s="15" t="s">
        <v>639</v>
      </c>
      <c r="B46" s="15" t="n">
        <f aca="false">COUNTIF(Contacts!$C$2:$C$1000,A46)</f>
        <v>2</v>
      </c>
      <c r="C46" s="15" t="n">
        <f aca="false">COUNTIFS(Contacts!$C$2:$C$1000,A46,Contacts!$L$2:$L$1000,TRUE())</f>
        <v>0</v>
      </c>
      <c r="D46" s="15" t="n">
        <f aca="false">COUNTIFS(Contacts!$C$2:$C$1000,A46,Contacts!$M$2:$M$1000,TRUE())</f>
        <v>0</v>
      </c>
    </row>
    <row r="47" customFormat="false" ht="15" hidden="false" customHeight="false" outlineLevel="0" collapsed="false">
      <c r="A47" s="15" t="s">
        <v>648</v>
      </c>
      <c r="B47" s="15" t="n">
        <f aca="false">COUNTIF(Contacts!$C$2:$C$1000,A47)</f>
        <v>1</v>
      </c>
      <c r="C47" s="15" t="n">
        <f aca="false">COUNTIFS(Contacts!$C$2:$C$1000,A47,Contacts!$L$2:$L$1000,TRUE())</f>
        <v>0</v>
      </c>
      <c r="D47" s="15" t="n">
        <f aca="false">COUNTIFS(Contacts!$C$2:$C$1000,A47,Contacts!$M$2:$M$1000,TRUE())</f>
        <v>0</v>
      </c>
    </row>
    <row r="48" customFormat="false" ht="15" hidden="false" customHeight="false" outlineLevel="0" collapsed="false">
      <c r="A48" s="15" t="s">
        <v>652</v>
      </c>
      <c r="B48" s="15" t="n">
        <f aca="false">COUNTIF(Contacts!$C$2:$C$1000,A48)</f>
        <v>2</v>
      </c>
      <c r="C48" s="15" t="n">
        <f aca="false">COUNTIFS(Contacts!$C$2:$C$1000,A48,Contacts!$L$2:$L$1000,TRUE())</f>
        <v>0</v>
      </c>
      <c r="D48" s="15" t="n">
        <f aca="false">COUNTIFS(Contacts!$C$2:$C$1000,A48,Contacts!$M$2:$M$1000,TRUE())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6" t="s">
        <v>672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7" t="s">
        <v>673</v>
      </c>
    </row>
    <row r="4" customFormat="false" ht="23.85" hidden="false" customHeight="false" outlineLevel="0" collapsed="false">
      <c r="A4" s="17" t="s">
        <v>674</v>
      </c>
    </row>
    <row r="5" customFormat="false" ht="15" hidden="false" customHeight="false" outlineLevel="0" collapsed="false">
      <c r="A5" s="17" t="s">
        <v>675</v>
      </c>
    </row>
    <row r="6" customFormat="false" ht="15" hidden="false" customHeight="false" outlineLevel="0" collapsed="false">
      <c r="A6" s="17" t="s">
        <v>676</v>
      </c>
    </row>
    <row r="7" customFormat="false" ht="15" hidden="false" customHeight="false" outlineLevel="0" collapsed="false">
      <c r="A7" s="17" t="s">
        <v>677</v>
      </c>
    </row>
    <row r="8" customFormat="false" ht="15" hidden="false" customHeight="false" outlineLevel="0" collapsed="false">
      <c r="A8" s="17" t="s">
        <v>678</v>
      </c>
    </row>
    <row r="9" customFormat="false" ht="23.85" hidden="false" customHeight="false" outlineLevel="0" collapsed="false">
      <c r="A9" s="17" t="s">
        <v>679</v>
      </c>
    </row>
    <row r="10" customFormat="false" ht="15" hidden="false" customHeight="false" outlineLevel="0" collapsed="false">
      <c r="A10" s="17" t="s">
        <v>680</v>
      </c>
    </row>
    <row r="11" customFormat="false" ht="15" hidden="false" customHeight="false" outlineLevel="0" collapsed="false">
      <c r="A11" s="17" t="s">
        <v>681</v>
      </c>
    </row>
    <row r="12" customFormat="false" ht="15" hidden="false" customHeight="false" outlineLevel="0" collapsed="false">
      <c r="A12" s="17" t="s">
        <v>682</v>
      </c>
    </row>
    <row r="13" customFormat="false" ht="15" hidden="false" customHeight="false" outlineLevel="0" collapsed="false">
      <c r="A13" s="17"/>
    </row>
    <row r="14" customFormat="false" ht="15" hidden="false" customHeight="false" outlineLevel="0" collapsed="false">
      <c r="A14" s="16" t="s">
        <v>683</v>
      </c>
    </row>
    <row r="15" customFormat="false" ht="35.05" hidden="false" customHeight="false" outlineLevel="0" collapsed="false">
      <c r="A15" s="17" t="s">
        <v>684</v>
      </c>
    </row>
    <row r="16" customFormat="false" ht="23.85" hidden="false" customHeight="false" outlineLevel="0" collapsed="false">
      <c r="A16" s="17" t="s">
        <v>685</v>
      </c>
    </row>
    <row r="17" customFormat="false" ht="23.85" hidden="false" customHeight="false" outlineLevel="0" collapsed="false">
      <c r="A17" s="17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2026-10-09T13:19:50Z</dcterms:created>
  <dc:creator>openpyxl</dc:creator>
  <dc:description/>
  <dc:language>en-US</dc:language>
  <cp:lastModifiedBy/>
  <dcterms:modified xsi:type="dcterms:W3CDTF">2026-10-09T13:19:50Z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